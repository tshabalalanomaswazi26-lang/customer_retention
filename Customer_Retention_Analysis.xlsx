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ndi\Desktop\Churn_Project\archive (1)\"/>
    </mc:Choice>
  </mc:AlternateContent>
  <xr:revisionPtr revIDLastSave="0" documentId="8_{6F5B734F-1D04-43D0-9B0D-9FD006F44B85}" xr6:coauthVersionLast="47" xr6:coauthVersionMax="47" xr10:uidLastSave="{00000000-0000-0000-0000-000000000000}"/>
  <bookViews>
    <workbookView xWindow="1152" yWindow="1152" windowWidth="17280" windowHeight="8880" activeTab="2" xr2:uid="{CA860642-E3D4-499E-9515-D3CE11360DF9}"/>
  </bookViews>
  <sheets>
    <sheet name="Sheet3" sheetId="3" r:id="rId1"/>
    <sheet name="Sheet4" sheetId="4" r:id="rId2"/>
    <sheet name="Sheet2" sheetId="2" r:id="rId3"/>
    <sheet name="Sheet1" sheetId="1" r:id="rId4"/>
  </sheets>
  <definedNames>
    <definedName name="ExternalData_1" localSheetId="0" hidden="1">Sheet3!$A$3:$Q$13</definedName>
    <definedName name="ExternalData_1" localSheetId="1" hidden="1">Sheet4!$A$3:$Q$9</definedName>
    <definedName name="Slicer_payment_failures">#N/A</definedName>
    <definedName name="Slicer_plan_type">#N/A</definedName>
  </definedNames>
  <calcPr calcId="191029"/>
  <pivotCaches>
    <pivotCache cacheId="0" r:id="rId5"/>
  </pivotCaches>
  <extLst>
    <ext xmlns:x14="http://schemas.microsoft.com/office/spreadsheetml/2009/9/main" uri="{876F7934-8845-4945-9796-88D515C7AA90}">
      <x14:pivotCaches>
        <pivotCache cacheId="1"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subscription_churn_usage_patterns_2f8a4da0-cf93-4b9d-9669-c9b730495d1d" name="customer_subscription_churn_usage_patterns" connection="Query - customer_subscription_churn_usage_patterns"/>
        </x15:modelTables>
        <x15:extLst>
          <ext xmlns:x16="http://schemas.microsoft.com/office/spreadsheetml/2014/11/main" uri="{9835A34E-60A6-4A7C-AAB8-D5F71C897F49}">
            <x16:modelTimeGroupings>
              <x16:modelTimeGrouping tableName="customer_subscription_churn_usage_patterns" columnName="Cohort_Month" columnId="Cohort_Month">
                <x16:calculatedTimeColumn columnName="Cohort_Month (Year)" columnId="Cohort_Month (Year)" contentType="years" isSelected="1"/>
                <x16:calculatedTimeColumn columnName="Cohort_Month (Quarter)" columnId="Cohort_Month (Quarter)" contentType="quarters" isSelected="1"/>
                <x16:calculatedTimeColumn columnName="Cohort_Month (Month Index)" columnId="Cohort_Month (Month Index)" contentType="monthsindex" isSelected="1"/>
                <x16:calculatedTimeColumn columnName="Cohort_Month (Month)" columnId="Cohort_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7B2425-0F25-42BC-9F53-234DBC3318E4}" keepAlive="1" name="ModelConnection_ExternalData_1" description="Data Model" type="5" refreshedVersion="8" minRefreshableVersion="5" saveData="1">
    <dbPr connection="Data Model Connection" command="DRILLTHROUGH MAXROWS 1000 SELECT FROM [Model] WHERE ((([customer_subscription_churn_usage_patterns].[payment_failures].[All],[customer_subscription_churn_usage_patterns].[plan_type].[All],[Measures].[Retention Rate],[customer_subscription_churn_usage_patterns].[Cohort_Month (Month)].&amp;[Dec]),[customer_subscription_churn_usage_patterns].[tenure_months].&amp;[10])) RETURN [$customer_subscription_churn_usage_patterns].[user_id],[$customer_subscription_churn_usage_patterns].[signup_date],[$customer_subscription_churn_usage_patterns].[plan_type],[$customer_subscription_churn_usage_patterns].[monthly_fee],[$customer_subscription_churn_usage_patterns].[avg_weekly_usage_hours],[$customer_subscription_churn_usage_patterns].[support_tickets],[$customer_subscription_churn_usage_patterns].[payment_failures],[$customer_subscription_churn_usage_patterns].[tenure_months],[$customer_subscription_churn_usage_patterns].[last_login_days_ago],[$customer_subscription_churn_usage_patterns].[churn],[$customer_subscription_churn_usage_patterns].[Cohort_Month],[$customer_subscription_churn_usage_patterns].[Churn_Data],[$customer_subscription_churn_usage_patterns].[Churn_Month],[$customer_subscription_churn_usage_patterns].[Cohort_Month (Year)],[$customer_subscription_churn_usage_patterns].[Cohort_Month (Quarter)],[$customer_subscription_churn_usage_patterns].[Cohort_Month (Month)],[$customer_subscription_churn_usage_patterns].[Cohort_Month (Month Index)]" commandType="4"/>
    <extLst>
      <ext xmlns:x15="http://schemas.microsoft.com/office/spreadsheetml/2010/11/main" uri="{DE250136-89BD-433C-8126-D09CA5730AF9}">
        <x15:connection id="" model="1"/>
      </ext>
    </extLst>
  </connection>
  <connection id="2" xr16:uid="{DC20B683-F430-4AB5-9828-59B2B5412752}" keepAlive="1" name="ModelConnection_ExternalData_11" description="Data Model" type="5" refreshedVersion="8" minRefreshableVersion="5" saveData="1">
    <dbPr connection="Data Model Connection" command="DRILLTHROUGH MAXROWS 1000 SELECT FROM [Model] WHERE ((([customer_subscription_churn_usage_patterns].[payment_failures].[All],[customer_subscription_churn_usage_patterns].[plan_type].[All],[Measures].[Retention Rate],[customer_subscription_churn_usage_patterns].[Cohort_Month (Month)].&amp;[Jan]),[customer_subscription_churn_usage_patterns].[tenure_months].&amp;[1])) RETURN [$customer_subscription_churn_usage_patterns].[user_id],[$customer_subscription_churn_usage_patterns].[signup_date],[$customer_subscription_churn_usage_patterns].[plan_type],[$customer_subscription_churn_usage_patterns].[monthly_fee],[$customer_subscription_churn_usage_patterns].[avg_weekly_usage_hours],[$customer_subscription_churn_usage_patterns].[support_tickets],[$customer_subscription_churn_usage_patterns].[payment_failures],[$customer_subscription_churn_usage_patterns].[tenure_months],[$customer_subscription_churn_usage_patterns].[last_login_days_ago],[$customer_subscription_churn_usage_patterns].[churn],[$customer_subscription_churn_usage_patterns].[Cohort_Month],[$customer_subscription_churn_usage_patterns].[Churn_Data],[$customer_subscription_churn_usage_patterns].[Churn_Month],[$customer_subscription_churn_usage_patterns].[Cohort_Month (Year)],[$customer_subscription_churn_usage_patterns].[Cohort_Month (Quarter)],[$customer_subscription_churn_usage_patterns].[Cohort_Month (Month)],[$customer_subscription_churn_usage_patterns].[Cohort_Month (Month Index)]" commandType="4"/>
    <extLst>
      <ext xmlns:x15="http://schemas.microsoft.com/office/spreadsheetml/2010/11/main" uri="{DE250136-89BD-433C-8126-D09CA5730AF9}">
        <x15:connection id="" model="1"/>
      </ext>
    </extLst>
  </connection>
  <connection id="3" xr16:uid="{DE827D07-ACB6-43E9-9566-67259C99A499}" name="Query - customer_subscription_churn_usage_patterns" description="Connection to the 'customer_subscription_churn_usage_patterns' query in the workbook." type="100" refreshedVersion="8" minRefreshableVersion="5">
    <extLst>
      <ext xmlns:x15="http://schemas.microsoft.com/office/spreadsheetml/2010/11/main" uri="{DE250136-89BD-433C-8126-D09CA5730AF9}">
        <x15:connection id="d89c6604-b39f-402d-876c-f1688d13d2e3"/>
      </ext>
    </extLst>
  </connection>
  <connection id="4" xr16:uid="{B0EAD052-3BAD-409B-A82E-3141403812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<sst xmlns="http://schemas.openxmlformats.org/spreadsheetml/2006/main" count="121" uniqueCount="48">
  <si>
    <t>Row Labels</t>
  </si>
  <si>
    <t>Grand Total</t>
  </si>
  <si>
    <t>Jan</t>
  </si>
  <si>
    <t>Dec</t>
  </si>
  <si>
    <t>Column Labels</t>
  </si>
  <si>
    <t>Retention Rate</t>
  </si>
  <si>
    <t>Basic</t>
  </si>
  <si>
    <t>Premium</t>
  </si>
  <si>
    <t>Standard</t>
  </si>
  <si>
    <t>customer_subscription_churn_usage_patterns[user_id]</t>
  </si>
  <si>
    <t>customer_subscription_churn_usage_patterns[signup_date]</t>
  </si>
  <si>
    <t>customer_subscription_churn_usage_patterns[plan_type]</t>
  </si>
  <si>
    <t>customer_subscription_churn_usage_patterns[monthly_fee]</t>
  </si>
  <si>
    <t>customer_subscription_churn_usage_patterns[avg_weekly_usage_hours]</t>
  </si>
  <si>
    <t>customer_subscription_churn_usage_patterns[support_tickets]</t>
  </si>
  <si>
    <t>customer_subscription_churn_usage_patterns[payment_failures]</t>
  </si>
  <si>
    <t>customer_subscription_churn_usage_patterns[tenure_months]</t>
  </si>
  <si>
    <t>customer_subscription_churn_usage_patterns[last_login_days_ago]</t>
  </si>
  <si>
    <t>customer_subscription_churn_usage_patterns[churn]</t>
  </si>
  <si>
    <t>customer_subscription_churn_usage_patterns[Cohort_Month]</t>
  </si>
  <si>
    <t>customer_subscription_churn_usage_patterns[Churn_Data]</t>
  </si>
  <si>
    <t>customer_subscription_churn_usage_patterns[Churn_Month]</t>
  </si>
  <si>
    <t>customer_subscription_churn_usage_patterns[Cohort_Month (Year)]</t>
  </si>
  <si>
    <t>customer_subscription_churn_usage_patterns[Cohort_Month (Quarter)]</t>
  </si>
  <si>
    <t>customer_subscription_churn_usage_patterns[Cohort_Month (Month)]</t>
  </si>
  <si>
    <t>customer_subscription_churn_usage_patterns[Cohort_Month (Month Index)]</t>
  </si>
  <si>
    <t>2411</t>
  </si>
  <si>
    <t>2023</t>
  </si>
  <si>
    <t>Qtr4</t>
  </si>
  <si>
    <t>703</t>
  </si>
  <si>
    <t>2024</t>
  </si>
  <si>
    <t>1486</t>
  </si>
  <si>
    <t>204</t>
  </si>
  <si>
    <t>1757</t>
  </si>
  <si>
    <t>1831</t>
  </si>
  <si>
    <t>2527</t>
  </si>
  <si>
    <t>1108</t>
  </si>
  <si>
    <t>1348</t>
  </si>
  <si>
    <t>412</t>
  </si>
  <si>
    <t>Data returned for Retention Rate, Dec, 10, All - All (First 1000 rows).</t>
  </si>
  <si>
    <t>1588</t>
  </si>
  <si>
    <t>Qtr1</t>
  </si>
  <si>
    <t>663</t>
  </si>
  <si>
    <t>710</t>
  </si>
  <si>
    <t>2461</t>
  </si>
  <si>
    <t>1989</t>
  </si>
  <si>
    <t>2511</t>
  </si>
  <si>
    <t>Data returned for Retention Rate, Jan, 1, [customer_subscription_churn_usage_patterns].[payment_failures].[All] - [customer_subscription_churn_usage_patterns].[plan_type].[All]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</si>
</sst>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0" fontId="1" fillId="0" borderId="0" xfId="0" applyFont="1"/>
    <xf numFmtId="14" fontId="0" fillId="0" borderId="0" xfId="0" applyNumberFormat="1" applyAlignment="1">
      <alignment horizontal="left"/>
    </xf>
  </cellXfs>
  <cellStyles count="1">
    <cellStyle name="Normal" xfId="0" builtinId="0"/>
  </cellStyles>
  <dxfs count="8">
    <dxf>
      <numFmt numFmtId="19" formatCode="yyyy/mm/dd"/>
    </dxf>
    <dxf>
      <numFmt numFmtId="19" formatCode="yyyy/mm/dd"/>
    </dxf>
    <dxf>
      <numFmt numFmtId="19" formatCode="yyyy/mm/dd"/>
    </dxf>
    <dxf>
      <numFmt numFmtId="19" formatCode="yyyy/mm/dd"/>
    </dxf>
    <dxf>
      <numFmt numFmtId="19" formatCode="yyyy/mm/dd"/>
    </dxf>
    <dxf>
      <numFmt numFmtId="19" formatCode="yyyy/mm/dd"/>
    </dxf>
    <dxf>
      <numFmt numFmtId="19" formatCode="yyyy/mm/dd"/>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5.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connections" Target="connection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30</xdr:col>
      <xdr:colOff>167640</xdr:colOff>
      <xdr:row>1</xdr:row>
      <xdr:rowOff>167641</xdr:rowOff>
    </xdr:from>
    <xdr:to>
      <xdr:col>34</xdr:col>
      <xdr:colOff>327660</xdr:colOff>
      <xdr:row>16</xdr:row>
      <xdr:rowOff>160020</xdr:rowOff>
    </xdr:to>
    <mc:AlternateContent xmlns:mc="http://schemas.openxmlformats.org/markup-compatibility/2006" xmlns:a14="http://schemas.microsoft.com/office/drawing/2010/main">
      <mc:Choice Requires="a14">
        <xdr:graphicFrame macro="">
          <xdr:nvGraphicFramePr>
            <xdr:cNvPr id="2" name="plan_type">
              <a:extLst>
                <a:ext uri="{FF2B5EF4-FFF2-40B4-BE49-F238E27FC236}">
                  <a16:creationId xmlns:a16="http://schemas.microsoft.com/office/drawing/2014/main" id="{921F2335-9684-AB17-4426-1EEF2F91C026}"/>
                </a:ext>
              </a:extLst>
            </xdr:cNvPr>
            <xdr:cNvGraphicFramePr/>
          </xdr:nvGraphicFramePr>
          <xdr:xfrm>
            <a:off x="0" y="0"/>
            <a:ext cx="0" cy="0"/>
          </xdr:xfrm>
          <a:graphic>
            <a:graphicData uri="http://schemas.microsoft.com/office/drawing/2010/slicer">
              <sle:slicer xmlns:sle="http://schemas.microsoft.com/office/drawing/2010/slicer" name="plan_type"/>
            </a:graphicData>
          </a:graphic>
        </xdr:graphicFrame>
      </mc:Choice>
      <mc:Fallback xmlns="">
        <xdr:sp macro="" textlink="">
          <xdr:nvSpPr>
            <xdr:cNvPr id="0" name=""/>
            <xdr:cNvSpPr>
              <a:spLocks noTextEdit="1"/>
            </xdr:cNvSpPr>
          </xdr:nvSpPr>
          <xdr:spPr>
            <a:xfrm>
              <a:off x="11795760" y="350521"/>
              <a:ext cx="1836420" cy="27355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716280</xdr:colOff>
      <xdr:row>1</xdr:row>
      <xdr:rowOff>167640</xdr:rowOff>
    </xdr:from>
    <xdr:to>
      <xdr:col>30</xdr:col>
      <xdr:colOff>167640</xdr:colOff>
      <xdr:row>16</xdr:row>
      <xdr:rowOff>182879</xdr:rowOff>
    </xdr:to>
    <mc:AlternateContent xmlns:mc="http://schemas.openxmlformats.org/markup-compatibility/2006" xmlns:a14="http://schemas.microsoft.com/office/drawing/2010/main">
      <mc:Choice Requires="a14">
        <xdr:graphicFrame macro="">
          <xdr:nvGraphicFramePr>
            <xdr:cNvPr id="3" name="payment_failures">
              <a:extLst>
                <a:ext uri="{FF2B5EF4-FFF2-40B4-BE49-F238E27FC236}">
                  <a16:creationId xmlns:a16="http://schemas.microsoft.com/office/drawing/2014/main" id="{A25014DE-ECC4-5A6D-2155-46458C5B04F7}"/>
                </a:ext>
              </a:extLst>
            </xdr:cNvPr>
            <xdr:cNvGraphicFramePr/>
          </xdr:nvGraphicFramePr>
          <xdr:xfrm>
            <a:off x="0" y="0"/>
            <a:ext cx="0" cy="0"/>
          </xdr:xfrm>
          <a:graphic>
            <a:graphicData uri="http://schemas.microsoft.com/office/drawing/2010/slicer">
              <sle:slicer xmlns:sle="http://schemas.microsoft.com/office/drawing/2010/slicer" name="payment_failures"/>
            </a:graphicData>
          </a:graphic>
        </xdr:graphicFrame>
      </mc:Choice>
      <mc:Fallback xmlns="">
        <xdr:sp macro="" textlink="">
          <xdr:nvSpPr>
            <xdr:cNvPr id="0" name=""/>
            <xdr:cNvSpPr>
              <a:spLocks noTextEdit="1"/>
            </xdr:cNvSpPr>
          </xdr:nvSpPr>
          <xdr:spPr>
            <a:xfrm>
              <a:off x="9944100" y="350520"/>
              <a:ext cx="1851660" cy="27584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le Tshabalala" refreshedDate="46169.254774074077" backgroundQuery="1" createdVersion="8" refreshedVersion="8" minRefreshableVersion="3" recordCount="0" supportSubquery="1" supportAdvancedDrill="1" xr:uid="{177A93BC-95B8-45C0-B8B1-ABB514232E3A}">
  <cacheSource type="external" connectionId="4"/>
  <cacheFields count="3">
    <cacheField name="[customer_subscription_churn_usage_patterns].[tenure_months].[tenure_months]" caption="tenure_months" numFmtId="0" hierarchy="7" level="1">
      <sharedItems containsSemiMixedTypes="0" containsString="0" containsNumber="1" containsInteger="1" minValue="1" maxValue="24" count="24">
        <n v="1"/>
        <n v="2"/>
        <n v="3"/>
        <n v="4"/>
        <n v="5"/>
        <n v="6"/>
        <n v="7"/>
        <n v="8"/>
        <n v="9"/>
        <n v="10"/>
        <n v="11"/>
        <n v="12"/>
        <n v="13"/>
        <n v="14"/>
        <n v="15"/>
        <n v="16"/>
        <n v="17"/>
        <n v="18"/>
        <n v="19"/>
        <n v="20"/>
        <n v="21"/>
        <n v="22"/>
        <n v="23"/>
        <n v="24"/>
      </sharedItems>
      <extLst>
        <ext xmlns:x15="http://schemas.microsoft.com/office/spreadsheetml/2010/11/main" uri="{4F2E5C28-24EA-4eb8-9CBF-B6C8F9C3D259}">
          <x15:cachedUniqueNames>
            <x15:cachedUniqueName index="0" name="[customer_subscription_churn_usage_patterns].[tenure_months].&amp;[1]"/>
            <x15:cachedUniqueName index="1" name="[customer_subscription_churn_usage_patterns].[tenure_months].&amp;[2]"/>
            <x15:cachedUniqueName index="2" name="[customer_subscription_churn_usage_patterns].[tenure_months].&amp;[3]"/>
            <x15:cachedUniqueName index="3" name="[customer_subscription_churn_usage_patterns].[tenure_months].&amp;[4]"/>
            <x15:cachedUniqueName index="4" name="[customer_subscription_churn_usage_patterns].[tenure_months].&amp;[5]"/>
            <x15:cachedUniqueName index="5" name="[customer_subscription_churn_usage_patterns].[tenure_months].&amp;[6]"/>
            <x15:cachedUniqueName index="6" name="[customer_subscription_churn_usage_patterns].[tenure_months].&amp;[7]"/>
            <x15:cachedUniqueName index="7" name="[customer_subscription_churn_usage_patterns].[tenure_months].&amp;[8]"/>
            <x15:cachedUniqueName index="8" name="[customer_subscription_churn_usage_patterns].[tenure_months].&amp;[9]"/>
            <x15:cachedUniqueName index="9" name="[customer_subscription_churn_usage_patterns].[tenure_months].&amp;[10]"/>
            <x15:cachedUniqueName index="10" name="[customer_subscription_churn_usage_patterns].[tenure_months].&amp;[11]"/>
            <x15:cachedUniqueName index="11" name="[customer_subscription_churn_usage_patterns].[tenure_months].&amp;[12]"/>
            <x15:cachedUniqueName index="12" name="[customer_subscription_churn_usage_patterns].[tenure_months].&amp;[13]"/>
            <x15:cachedUniqueName index="13" name="[customer_subscription_churn_usage_patterns].[tenure_months].&amp;[14]"/>
            <x15:cachedUniqueName index="14" name="[customer_subscription_churn_usage_patterns].[tenure_months].&amp;[15]"/>
            <x15:cachedUniqueName index="15" name="[customer_subscription_churn_usage_patterns].[tenure_months].&amp;[16]"/>
            <x15:cachedUniqueName index="16" name="[customer_subscription_churn_usage_patterns].[tenure_months].&amp;[17]"/>
            <x15:cachedUniqueName index="17" name="[customer_subscription_churn_usage_patterns].[tenure_months].&amp;[18]"/>
            <x15:cachedUniqueName index="18" name="[customer_subscription_churn_usage_patterns].[tenure_months].&amp;[19]"/>
            <x15:cachedUniqueName index="19" name="[customer_subscription_churn_usage_patterns].[tenure_months].&amp;[20]"/>
            <x15:cachedUniqueName index="20" name="[customer_subscription_churn_usage_patterns].[tenure_months].&amp;[21]"/>
            <x15:cachedUniqueName index="21" name="[customer_subscription_churn_usage_patterns].[tenure_months].&amp;[22]"/>
            <x15:cachedUniqueName index="22" name="[customer_subscription_churn_usage_patterns].[tenure_months].&amp;[23]"/>
            <x15:cachedUniqueName index="23" name="[customer_subscription_churn_usage_patterns].[tenure_months].&amp;[24]"/>
          </x15:cachedUniqueNames>
        </ext>
      </extLst>
    </cacheField>
    <cacheField name="[Measures].[Retention Rate]" caption="Retention Rate" numFmtId="0" hierarchy="18" level="32767"/>
    <cacheField name="[customer_subscription_churn_usage_patterns].[Cohort_Month].[Cohort_Month]" caption="Cohort_Month" numFmtId="0" hierarchy="10" level="1">
      <sharedItems containsSemiMixedTypes="0" containsNonDate="0" containsDate="1" containsString="0" minDate="2023-01-01T00:00:00" maxDate="2024-12-02T00:00:00" count="24">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cacheField>
  </cacheFields>
  <cacheHierarchies count="21">
    <cacheHierarchy uniqueName="[customer_subscription_churn_usage_patterns].[user_id]" caption="user_id" attribute="1" defaultMemberUniqueName="[customer_subscription_churn_usage_patterns].[user_id].[All]" allUniqueName="[customer_subscription_churn_usage_patterns].[user_id].[All]" dimensionUniqueName="[customer_subscription_churn_usage_patterns]" displayFolder="" count="0" memberValueDatatype="130" unbalanced="0"/>
    <cacheHierarchy uniqueName="[customer_subscription_churn_usage_patterns].[signup_date]" caption="signup_date" attribute="1" time="1" defaultMemberUniqueName="[customer_subscription_churn_usage_patterns].[signup_date].[All]" allUniqueName="[customer_subscription_churn_usage_patterns].[signup_date].[All]" dimensionUniqueName="[customer_subscription_churn_usage_patterns]" displayFolder="" count="0" memberValueDatatype="7" unbalanced="0"/>
    <cacheHierarchy uniqueName="[customer_subscription_churn_usage_patterns].[plan_type]" caption="plan_type" attribute="1" defaultMemberUniqueName="[customer_subscription_churn_usage_patterns].[plan_type].[All]" allUniqueName="[customer_subscription_churn_usage_patterns].[plan_type].[All]" dimensionUniqueName="[customer_subscription_churn_usage_patterns]" displayFolder="" count="2" memberValueDatatype="130" unbalanced="0"/>
    <cacheHierarchy uniqueName="[customer_subscription_churn_usage_patterns].[monthly_fee]" caption="monthly_fee" attribute="1" defaultMemberUniqueName="[customer_subscription_churn_usage_patterns].[monthly_fee].[All]" allUniqueName="[customer_subscription_churn_usage_patterns].[monthly_fee].[All]" dimensionUniqueName="[customer_subscription_churn_usage_patterns]" displayFolder="" count="0" memberValueDatatype="6" unbalanced="0"/>
    <cacheHierarchy uniqueName="[customer_subscription_churn_usage_patterns].[avg_weekly_usage_hours]" caption="avg_weekly_usage_hours" attribute="1" defaultMemberUniqueName="[customer_subscription_churn_usage_patterns].[avg_weekly_usage_hours].[All]" allUniqueName="[customer_subscription_churn_usage_patterns].[avg_weekly_usage_hours].[All]" dimensionUniqueName="[customer_subscription_churn_usage_patterns]" displayFolder="" count="0" memberValueDatatype="5" unbalanced="0"/>
    <cacheHierarchy uniqueName="[customer_subscription_churn_usage_patterns].[support_tickets]" caption="support_tickets" attribute="1" defaultMemberUniqueName="[customer_subscription_churn_usage_patterns].[support_tickets].[All]" allUniqueName="[customer_subscription_churn_usage_patterns].[support_tickets].[All]" dimensionUniqueName="[customer_subscription_churn_usage_patterns]" displayFolder="" count="0" memberValueDatatype="20" unbalanced="0"/>
    <cacheHierarchy uniqueName="[customer_subscription_churn_usage_patterns].[payment_failures]" caption="payment_failures" attribute="1" defaultMemberUniqueName="[customer_subscription_churn_usage_patterns].[payment_failures].[All]" allUniqueName="[customer_subscription_churn_usage_patterns].[payment_failures].[All]" dimensionUniqueName="[customer_subscription_churn_usage_patterns]" displayFolder="" count="2" memberValueDatatype="20" unbalanced="0"/>
    <cacheHierarchy uniqueName="[customer_subscription_churn_usage_patterns].[tenure_months]" caption="tenure_months" attribute="1" defaultMemberUniqueName="[customer_subscription_churn_usage_patterns].[tenure_months].[All]" allUniqueName="[customer_subscription_churn_usage_patterns].[tenure_months].[All]" dimensionUniqueName="[customer_subscription_churn_usage_patterns]" displayFolder="" count="2" memberValueDatatype="20" unbalanced="0">
      <fieldsUsage count="2">
        <fieldUsage x="-1"/>
        <fieldUsage x="0"/>
      </fieldsUsage>
    </cacheHierarchy>
    <cacheHierarchy uniqueName="[customer_subscription_churn_usage_patterns].[last_login_days_ago]" caption="last_login_days_ago" attribute="1" defaultMemberUniqueName="[customer_subscription_churn_usage_patterns].[last_login_days_ago].[All]" allUniqueName="[customer_subscription_churn_usage_patterns].[last_login_days_ago].[All]" dimensionUniqueName="[customer_subscription_churn_usage_patterns]" displayFolder="" count="0" memberValueDatatype="20" unbalanced="0"/>
    <cacheHierarchy uniqueName="[customer_subscription_churn_usage_patterns].[churn]" caption="churn" attribute="1" defaultMemberUniqueName="[customer_subscription_churn_usage_patterns].[churn].[All]" allUniqueName="[customer_subscription_churn_usage_patterns].[churn].[All]" dimensionUniqueName="[customer_subscription_churn_usage_patterns]" displayFolder="" count="0" memberValueDatatype="11" unbalanced="0"/>
    <cacheHierarchy uniqueName="[customer_subscription_churn_usage_patterns].[Cohort_Month]" caption="Cohort_Month" attribute="1" time="1" defaultMemberUniqueName="[customer_subscription_churn_usage_patterns].[Cohort_Month].[All]" allUniqueName="[customer_subscription_churn_usage_patterns].[Cohort_Month].[All]" dimensionUniqueName="[customer_subscription_churn_usage_patterns]" displayFolder="" count="2" memberValueDatatype="7" unbalanced="0">
      <fieldsUsage count="2">
        <fieldUsage x="-1"/>
        <fieldUsage x="2"/>
      </fieldsUsage>
    </cacheHierarchy>
    <cacheHierarchy uniqueName="[customer_subscription_churn_usage_patterns].[Churn_Data]" caption="Churn_Data" attribute="1" time="1" defaultMemberUniqueName="[customer_subscription_churn_usage_patterns].[Churn_Data].[All]" allUniqueName="[customer_subscription_churn_usage_patterns].[Churn_Data].[All]" dimensionUniqueName="[customer_subscription_churn_usage_patterns]" displayFolder="" count="0" memberValueDatatype="7" unbalanced="0"/>
    <cacheHierarchy uniqueName="[customer_subscription_churn_usage_patterns].[Churn_Month]" caption="Churn_Month" attribute="1" time="1" defaultMemberUniqueName="[customer_subscription_churn_usage_patterns].[Churn_Month].[All]" allUniqueName="[customer_subscription_churn_usage_patterns].[Churn_Month].[All]" dimensionUniqueName="[customer_subscription_churn_usage_patterns]" displayFolder="" count="0" memberValueDatatype="7" unbalanced="0"/>
    <cacheHierarchy uniqueName="[customer_subscription_churn_usage_patterns].[Cohort_Month (Year)]" caption="Cohort_Month (Year)" attribute="1" defaultMemberUniqueName="[customer_subscription_churn_usage_patterns].[Cohort_Month (Year)].[All]" allUniqueName="[customer_subscription_churn_usage_patterns].[Cohort_Month (Year)].[All]" dimensionUniqueName="[customer_subscription_churn_usage_patterns]" displayFolder="" count="0" memberValueDatatype="130" unbalanced="0"/>
    <cacheHierarchy uniqueName="[customer_subscription_churn_usage_patterns].[Cohort_Month (Quarter)]" caption="Cohort_Month (Quarter)" attribute="1" defaultMemberUniqueName="[customer_subscription_churn_usage_patterns].[Cohort_Month (Quarter)].[All]" allUniqueName="[customer_subscription_churn_usage_patterns].[Cohort_Month (Quarter)].[All]" dimensionUniqueName="[customer_subscription_churn_usage_patterns]" displayFolder="" count="0" memberValueDatatype="130" unbalanced="0"/>
    <cacheHierarchy uniqueName="[customer_subscription_churn_usage_patterns].[Cohort_Month (Month)]" caption="Cohort_Month (Month)" attribute="1" defaultMemberUniqueName="[customer_subscription_churn_usage_patterns].[Cohort_Month (Month)].[All]" allUniqueName="[customer_subscription_churn_usage_patterns].[Cohort_Month (Month)].[All]" dimensionUniqueName="[customer_subscription_churn_usage_patterns]" displayFolder="" count="0" memberValueDatatype="130" unbalanced="0"/>
    <cacheHierarchy uniqueName="[customer_subscription_churn_usage_patterns].[Cohort_Month (Month Index)]" caption="Cohort_Month (Month Index)" attribute="1" defaultMemberUniqueName="[customer_subscription_churn_usage_patterns].[Cohort_Month (Month Index)].[All]" allUniqueName="[customer_subscription_churn_usage_patterns].[Cohort_Month (Month Index)].[All]" dimensionUniqueName="[customer_subscription_churn_usage_patterns]" displayFolder="" count="0" memberValueDatatype="20" unbalanced="0" hidden="1"/>
    <cacheHierarchy uniqueName="[Measures].[Sum of payment_failures]" caption="Sum of payment_failures" measure="1" displayFolder="" measureGroup="customer_subscription_churn_usage_patterns" count="0">
      <extLst>
        <ext xmlns:x15="http://schemas.microsoft.com/office/spreadsheetml/2010/11/main" uri="{B97F6D7D-B522-45F9-BDA1-12C45D357490}">
          <x15:cacheHierarchy aggregatedColumn="6"/>
        </ext>
      </extLst>
    </cacheHierarchy>
    <cacheHierarchy uniqueName="[Measures].[Retention Rate]" caption="Retention Rate" measure="1" displayFolder="" measureGroup="customer_subscription_churn_usage_patterns" count="0" oneField="1">
      <fieldsUsage count="1">
        <fieldUsage x="1"/>
      </fieldsUsage>
    </cacheHierarchy>
    <cacheHierarchy uniqueName="[Measures].[__XL_Count customer_subscription_churn_usage_patterns]" caption="__XL_Count customer_subscription_churn_usage_patterns" measure="1" displayFolder="" measureGroup="customer_subscription_churn_usage_patterns" count="0" hidden="1"/>
    <cacheHierarchy uniqueName="[Measures].[__No measures defined]" caption="__No measures defined" measure="1" displayFolder="" count="0" hidden="1"/>
  </cacheHierarchies>
  <kpis count="0"/>
  <dimensions count="2">
    <dimension name="customer_subscription_churn_usage_patterns" uniqueName="[customer_subscription_churn_usage_patterns]" caption="customer_subscription_churn_usage_patterns"/>
    <dimension measure="1" name="Measures" uniqueName="[Measures]" caption="Measures"/>
  </dimensions>
  <measureGroups count="1">
    <measureGroup name="customer_subscription_churn_usage_patterns" caption="customer_subscription_churn_usage_pattern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le Tshabalala" refreshedDate="46169.253696643522" backgroundQuery="1" createdVersion="3" refreshedVersion="8" minRefreshableVersion="3" recordCount="0" supportSubquery="1" supportAdvancedDrill="1" xr:uid="{81C96D00-6055-4FF2-8813-A09C845AF2C2}">
  <cacheSource type="external" connectionId="4">
    <extLst>
      <ext xmlns:x14="http://schemas.microsoft.com/office/spreadsheetml/2009/9/main" uri="{F057638F-6D5F-4e77-A914-E7F072B9BCA8}">
        <x14:sourceConnection name="ThisWorkbookDataModel"/>
      </ext>
    </extLst>
  </cacheSource>
  <cacheFields count="0"/>
  <cacheHierarchies count="21">
    <cacheHierarchy uniqueName="[customer_subscription_churn_usage_patterns].[user_id]" caption="user_id" attribute="1" defaultMemberUniqueName="[customer_subscription_churn_usage_patterns].[user_id].[All]" allUniqueName="[customer_subscription_churn_usage_patterns].[user_id].[All]" dimensionUniqueName="[customer_subscription_churn_usage_patterns]" displayFolder="" count="0" memberValueDatatype="130" unbalanced="0"/>
    <cacheHierarchy uniqueName="[customer_subscription_churn_usage_patterns].[signup_date]" caption="signup_date" attribute="1" time="1" defaultMemberUniqueName="[customer_subscription_churn_usage_patterns].[signup_date].[All]" allUniqueName="[customer_subscription_churn_usage_patterns].[signup_date].[All]" dimensionUniqueName="[customer_subscription_churn_usage_patterns]" displayFolder="" count="0" memberValueDatatype="7" unbalanced="0"/>
    <cacheHierarchy uniqueName="[customer_subscription_churn_usage_patterns].[plan_type]" caption="plan_type" attribute="1" defaultMemberUniqueName="[customer_subscription_churn_usage_patterns].[plan_type].[All]" allUniqueName="[customer_subscription_churn_usage_patterns].[plan_type].[All]" dimensionUniqueName="[customer_subscription_churn_usage_patterns]" displayFolder="" count="2" memberValueDatatype="130" unbalanced="0"/>
    <cacheHierarchy uniqueName="[customer_subscription_churn_usage_patterns].[monthly_fee]" caption="monthly_fee" attribute="1" defaultMemberUniqueName="[customer_subscription_churn_usage_patterns].[monthly_fee].[All]" allUniqueName="[customer_subscription_churn_usage_patterns].[monthly_fee].[All]" dimensionUniqueName="[customer_subscription_churn_usage_patterns]" displayFolder="" count="0" memberValueDatatype="6" unbalanced="0"/>
    <cacheHierarchy uniqueName="[customer_subscription_churn_usage_patterns].[avg_weekly_usage_hours]" caption="avg_weekly_usage_hours" attribute="1" defaultMemberUniqueName="[customer_subscription_churn_usage_patterns].[avg_weekly_usage_hours].[All]" allUniqueName="[customer_subscription_churn_usage_patterns].[avg_weekly_usage_hours].[All]" dimensionUniqueName="[customer_subscription_churn_usage_patterns]" displayFolder="" count="0" memberValueDatatype="5" unbalanced="0"/>
    <cacheHierarchy uniqueName="[customer_subscription_churn_usage_patterns].[support_tickets]" caption="support_tickets" attribute="1" defaultMemberUniqueName="[customer_subscription_churn_usage_patterns].[support_tickets].[All]" allUniqueName="[customer_subscription_churn_usage_patterns].[support_tickets].[All]" dimensionUniqueName="[customer_subscription_churn_usage_patterns]" displayFolder="" count="0" memberValueDatatype="20" unbalanced="0"/>
    <cacheHierarchy uniqueName="[customer_subscription_churn_usage_patterns].[payment_failures]" caption="payment_failures" attribute="1" defaultMemberUniqueName="[customer_subscription_churn_usage_patterns].[payment_failures].[All]" allUniqueName="[customer_subscription_churn_usage_patterns].[payment_failures].[All]" dimensionUniqueName="[customer_subscription_churn_usage_patterns]" displayFolder="" count="2" memberValueDatatype="20" unbalanced="0"/>
    <cacheHierarchy uniqueName="[customer_subscription_churn_usage_patterns].[tenure_months]" caption="tenure_months" attribute="1" defaultMemberUniqueName="[customer_subscription_churn_usage_patterns].[tenure_months].[All]" allUniqueName="[customer_subscription_churn_usage_patterns].[tenure_months].[All]" dimensionUniqueName="[customer_subscription_churn_usage_patterns]" displayFolder="" count="0" memberValueDatatype="20" unbalanced="0"/>
    <cacheHierarchy uniqueName="[customer_subscription_churn_usage_patterns].[last_login_days_ago]" caption="last_login_days_ago" attribute="1" defaultMemberUniqueName="[customer_subscription_churn_usage_patterns].[last_login_days_ago].[All]" allUniqueName="[customer_subscription_churn_usage_patterns].[last_login_days_ago].[All]" dimensionUniqueName="[customer_subscription_churn_usage_patterns]" displayFolder="" count="0" memberValueDatatype="20" unbalanced="0"/>
    <cacheHierarchy uniqueName="[customer_subscription_churn_usage_patterns].[churn]" caption="churn" attribute="1" defaultMemberUniqueName="[customer_subscription_churn_usage_patterns].[churn].[All]" allUniqueName="[customer_subscription_churn_usage_patterns].[churn].[All]" dimensionUniqueName="[customer_subscription_churn_usage_patterns]" displayFolder="" count="0" memberValueDatatype="11" unbalanced="0"/>
    <cacheHierarchy uniqueName="[customer_subscription_churn_usage_patterns].[Cohort_Month]" caption="Cohort_Month" attribute="1" time="1" defaultMemberUniqueName="[customer_subscription_churn_usage_patterns].[Cohort_Month].[All]" allUniqueName="[customer_subscription_churn_usage_patterns].[Cohort_Month].[All]" dimensionUniqueName="[customer_subscription_churn_usage_patterns]" displayFolder="" count="0" memberValueDatatype="7" unbalanced="0"/>
    <cacheHierarchy uniqueName="[customer_subscription_churn_usage_patterns].[Churn_Data]" caption="Churn_Data" attribute="1" time="1" defaultMemberUniqueName="[customer_subscription_churn_usage_patterns].[Churn_Data].[All]" allUniqueName="[customer_subscription_churn_usage_patterns].[Churn_Data].[All]" dimensionUniqueName="[customer_subscription_churn_usage_patterns]" displayFolder="" count="0" memberValueDatatype="7" unbalanced="0"/>
    <cacheHierarchy uniqueName="[customer_subscription_churn_usage_patterns].[Churn_Month]" caption="Churn_Month" attribute="1" time="1" defaultMemberUniqueName="[customer_subscription_churn_usage_patterns].[Churn_Month].[All]" allUniqueName="[customer_subscription_churn_usage_patterns].[Churn_Month].[All]" dimensionUniqueName="[customer_subscription_churn_usage_patterns]" displayFolder="" count="0" memberValueDatatype="7" unbalanced="0"/>
    <cacheHierarchy uniqueName="[customer_subscription_churn_usage_patterns].[Cohort_Month (Year)]" caption="Cohort_Month (Year)" attribute="1" defaultMemberUniqueName="[customer_subscription_churn_usage_patterns].[Cohort_Month (Year)].[All]" allUniqueName="[customer_subscription_churn_usage_patterns].[Cohort_Month (Year)].[All]" dimensionUniqueName="[customer_subscription_churn_usage_patterns]" displayFolder="" count="0" memberValueDatatype="130" unbalanced="0"/>
    <cacheHierarchy uniqueName="[customer_subscription_churn_usage_patterns].[Cohort_Month (Quarter)]" caption="Cohort_Month (Quarter)" attribute="1" defaultMemberUniqueName="[customer_subscription_churn_usage_patterns].[Cohort_Month (Quarter)].[All]" allUniqueName="[customer_subscription_churn_usage_patterns].[Cohort_Month (Quarter)].[All]" dimensionUniqueName="[customer_subscription_churn_usage_patterns]" displayFolder="" count="0" memberValueDatatype="130" unbalanced="0"/>
    <cacheHierarchy uniqueName="[customer_subscription_churn_usage_patterns].[Cohort_Month (Month)]" caption="Cohort_Month (Month)" attribute="1" defaultMemberUniqueName="[customer_subscription_churn_usage_patterns].[Cohort_Month (Month)].[All]" allUniqueName="[customer_subscription_churn_usage_patterns].[Cohort_Month (Month)].[All]" dimensionUniqueName="[customer_subscription_churn_usage_patterns]" displayFolder="" count="0" memberValueDatatype="130" unbalanced="0"/>
    <cacheHierarchy uniqueName="[customer_subscription_churn_usage_patterns].[Cohort_Month (Month Index)]" caption="Cohort_Month (Month Index)" attribute="1" defaultMemberUniqueName="[customer_subscription_churn_usage_patterns].[Cohort_Month (Month Index)].[All]" allUniqueName="[customer_subscription_churn_usage_patterns].[Cohort_Month (Month Index)].[All]" dimensionUniqueName="[customer_subscription_churn_usage_patterns]" displayFolder="" count="0" memberValueDatatype="20" unbalanced="0" hidden="1"/>
    <cacheHierarchy uniqueName="[Measures].[Sum of payment_failures]" caption="Sum of payment_failures" measure="1" displayFolder="" measureGroup="customer_subscription_churn_usage_patterns" count="0">
      <extLst>
        <ext xmlns:x15="http://schemas.microsoft.com/office/spreadsheetml/2010/11/main" uri="{B97F6D7D-B522-45F9-BDA1-12C45D357490}">
          <x15:cacheHierarchy aggregatedColumn="6"/>
        </ext>
      </extLst>
    </cacheHierarchy>
    <cacheHierarchy uniqueName="[Measures].[Retention Rate]" caption="Retention Rate" measure="1" displayFolder="" measureGroup="customer_subscription_churn_usage_patterns" count="0"/>
    <cacheHierarchy uniqueName="[Measures].[__XL_Count customer_subscription_churn_usage_patterns]" caption="__XL_Count customer_subscription_churn_usage_patterns" measure="1" displayFolder="" measureGroup="customer_subscription_churn_usage_patter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96835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29AF5-B144-40A0-A51C-9B5BEE9F4317}" name="PivotTable1" cacheId="0" applyNumberFormats="0" applyBorderFormats="0" applyFontFormats="0" applyPatternFormats="0" applyAlignmentFormats="0" applyWidthHeightFormats="1" dataCaption="Values" missingCaption="0%" showMissing="0" tag="b3b9a961-8048-43cc-ad6f-f67821b8e689" updatedVersion="8" minRefreshableVersion="3" useAutoFormatting="1" subtotalHiddenItems="1" itemPrintTitles="1" createdVersion="8" indent="0" outline="1" outlineData="1" multipleFieldFilters="0">
  <location ref="A3:Z29" firstHeaderRow="1" firstDataRow="2" firstDataCol="1"/>
  <pivotFields count="3">
    <pivotField axis="axisCol" allDrilled="1" subtotalTop="0" showAll="0" dataSourceSort="1" defaultSubtotal="0" defaultAttributeDrillState="1">
      <items count="2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0"/>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fld="1" subtotal="count" baseField="0" baseItem="0"/>
  </dataFields>
  <conditionalFormats count="1">
    <conditionalFormat scope="data" priority="1">
      <pivotAreas count="1">
        <pivotArea outline="0" fieldPosition="0">
          <references count="1">
            <reference field="4294967294" count="1" selected="0">
              <x v="0"/>
            </reference>
          </references>
        </pivotArea>
      </pivotAreas>
    </conditionalFormat>
  </conditionalFormats>
  <pivotHierarchies count="2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subscription_churn_usage_patter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99C8143-0E22-46B6-8BD8-6F38B82CD08C}" autoFormatId="16" applyNumberFormats="0" applyBorderFormats="0" applyFontFormats="0" applyPatternFormats="0" applyAlignmentFormats="0" applyWidthHeightFormats="0">
  <queryTableRefresh nextId="18">
    <queryTableFields count="17">
      <queryTableField id="1" name="customer_subscription_churn_usage_patterns[user_id]" tableColumnId="1"/>
      <queryTableField id="2" name="customer_subscription_churn_usage_patterns[signup_date]" tableColumnId="2"/>
      <queryTableField id="3" name="customer_subscription_churn_usage_patterns[plan_type]" tableColumnId="3"/>
      <queryTableField id="4" name="customer_subscription_churn_usage_patterns[monthly_fee]" tableColumnId="4"/>
      <queryTableField id="5" name="customer_subscription_churn_usage_patterns[avg_weekly_usage_hours]" tableColumnId="5"/>
      <queryTableField id="6" name="customer_subscription_churn_usage_patterns[support_tickets]" tableColumnId="6"/>
      <queryTableField id="7" name="customer_subscription_churn_usage_patterns[payment_failures]" tableColumnId="7"/>
      <queryTableField id="8" name="customer_subscription_churn_usage_patterns[tenure_months]" tableColumnId="8"/>
      <queryTableField id="9" name="customer_subscription_churn_usage_patterns[last_login_days_ago]" tableColumnId="9"/>
      <queryTableField id="10" name="customer_subscription_churn_usage_patterns[churn]" tableColumnId="10"/>
      <queryTableField id="11" name="customer_subscription_churn_usage_patterns[Cohort_Month]" tableColumnId="11"/>
      <queryTableField id="12" name="customer_subscription_churn_usage_patterns[Churn_Data]" tableColumnId="12"/>
      <queryTableField id="13" name="customer_subscription_churn_usage_patterns[Churn_Month]" tableColumnId="13"/>
      <queryTableField id="14" name="customer_subscription_churn_usage_patterns[Cohort_Month (Year)]" tableColumnId="14"/>
      <queryTableField id="15" name="customer_subscription_churn_usage_patterns[Cohort_Month (Quarter)]" tableColumnId="15"/>
      <queryTableField id="16" name="customer_subscription_churn_usage_patterns[Cohort_Month (Month)]" tableColumnId="16"/>
      <queryTableField id="17" name="customer_subscription_churn_usage_patterns[Cohort_Month (Month Index)]" tableColumnId="17"/>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0D6F5B7-3C01-4D8D-B014-D8B235BEB550}" autoFormatId="16" applyNumberFormats="0" applyBorderFormats="0" applyFontFormats="0" applyPatternFormats="0" applyAlignmentFormats="0" applyWidthHeightFormats="0">
  <queryTableRefresh nextId="18">
    <queryTableFields count="17">
      <queryTableField id="1" name="customer_subscription_churn_usage_patterns[user_id]" tableColumnId="1"/>
      <queryTableField id="2" name="customer_subscription_churn_usage_patterns[signup_date]" tableColumnId="2"/>
      <queryTableField id="3" name="customer_subscription_churn_usage_patterns[plan_type]" tableColumnId="3"/>
      <queryTableField id="4" name="customer_subscription_churn_usage_patterns[monthly_fee]" tableColumnId="4"/>
      <queryTableField id="5" name="customer_subscription_churn_usage_patterns[avg_weekly_usage_hours]" tableColumnId="5"/>
      <queryTableField id="6" name="customer_subscription_churn_usage_patterns[support_tickets]" tableColumnId="6"/>
      <queryTableField id="7" name="customer_subscription_churn_usage_patterns[payment_failures]" tableColumnId="7"/>
      <queryTableField id="8" name="customer_subscription_churn_usage_patterns[tenure_months]" tableColumnId="8"/>
      <queryTableField id="9" name="customer_subscription_churn_usage_patterns[last_login_days_ago]" tableColumnId="9"/>
      <queryTableField id="10" name="customer_subscription_churn_usage_patterns[churn]" tableColumnId="10"/>
      <queryTableField id="11" name="customer_subscription_churn_usage_patterns[Cohort_Month]" tableColumnId="11"/>
      <queryTableField id="12" name="customer_subscription_churn_usage_patterns[Churn_Data]" tableColumnId="12"/>
      <queryTableField id="13" name="customer_subscription_churn_usage_patterns[Churn_Month]" tableColumnId="13"/>
      <queryTableField id="14" name="customer_subscription_churn_usage_patterns[Cohort_Month (Year)]" tableColumnId="14"/>
      <queryTableField id="15" name="customer_subscription_churn_usage_patterns[Cohort_Month (Quarter)]" tableColumnId="15"/>
      <queryTableField id="16" name="customer_subscription_churn_usage_patterns[Cohort_Month (Month)]" tableColumnId="16"/>
      <queryTableField id="17" name="customer_subscription_churn_usage_patterns[Cohort_Month (Month Index)]"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B098742E-F8EB-4D55-AD61-D81BF3CFBA93}" sourceName="[customer_subscription_churn_usage_patterns].[plan_type]">
  <pivotTables>
    <pivotTable tabId="2" name="PivotTable1"/>
  </pivotTables>
  <data>
    <olap pivotCacheId="79683579">
      <levels count="2">
        <level uniqueName="[customer_subscription_churn_usage_patterns].[plan_type].[(All)]" sourceCaption="(All)" count="0"/>
        <level uniqueName="[customer_subscription_churn_usage_patterns].[plan_type].[plan_type]" sourceCaption="plan_type" count="3">
          <ranges>
            <range startItem="0">
              <i n="[customer_subscription_churn_usage_patterns].[plan_type].&amp;[Basic]" c="Basic"/>
              <i n="[customer_subscription_churn_usage_patterns].[plan_type].&amp;[Premium]" c="Premium"/>
              <i n="[customer_subscription_churn_usage_patterns].[plan_type].&amp;[Standard]" c="Standard"/>
            </range>
          </ranges>
        </level>
      </levels>
      <selections count="1">
        <selection n="[customer_subscription_churn_usage_patterns].[plan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failures" xr10:uid="{F81983C0-71EC-40CC-8F63-CC2BDA9A9A85}" sourceName="[customer_subscription_churn_usage_patterns].[payment_failures]">
  <pivotTables>
    <pivotTable tabId="2" name="PivotTable1"/>
  </pivotTables>
  <data>
    <olap pivotCacheId="79683579">
      <levels count="2">
        <level uniqueName="[customer_subscription_churn_usage_patterns].[payment_failures].[(All)]" sourceCaption="(All)" count="0"/>
        <level uniqueName="[customer_subscription_churn_usage_patterns].[payment_failures].[payment_failures]" sourceCaption="payment_failures" count="6">
          <ranges>
            <range startItem="0">
              <i n="[customer_subscription_churn_usage_patterns].[payment_failures].&amp;[0]" c="0"/>
              <i n="[customer_subscription_churn_usage_patterns].[payment_failures].&amp;[1]" c="1"/>
              <i n="[customer_subscription_churn_usage_patterns].[payment_failures].&amp;[2]" c="2"/>
              <i n="[customer_subscription_churn_usage_patterns].[payment_failures].&amp;[3]" c="3"/>
              <i n="[customer_subscription_churn_usage_patterns].[payment_failures].&amp;[4]" c="4"/>
              <i n="[customer_subscription_churn_usage_patterns].[payment_failures].&amp;[5]" c="5"/>
            </range>
          </ranges>
        </level>
      </levels>
      <selections count="1">
        <selection n="[customer_subscription_churn_usage_patterns].[payment_failur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_type" xr10:uid="{FDC3BF85-8C59-4E55-A281-27D3565EAB0B}" cache="Slicer_plan_type" caption="plan_type" level="1" rowHeight="247650"/>
  <slicer name="payment_failures" xr10:uid="{71EC1764-B274-4BDC-98E6-F9C92A866A96}" cache="Slicer_payment_failures" caption="payment_failures"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FFBC0D-E369-4C62-8847-F2618E47116C}" name="Table_ExternalData_1" displayName="Table_ExternalData_1" ref="A3:Q13" tableType="queryTable" totalsRowShown="0">
  <autoFilter ref="A3:Q13" xr:uid="{8AFFBC0D-E369-4C62-8847-F2618E47116C}"/>
  <tableColumns count="17">
    <tableColumn id="1" xr3:uid="{7C353B2E-DDA5-4E72-BFA8-7B65B07602D6}" uniqueName="1" name="customer_subscription_churn_usage_patterns[user_id]" queryTableFieldId="1"/>
    <tableColumn id="2" xr3:uid="{6FDF2228-EB3B-48D7-B7CE-CBF72F1F97A9}" uniqueName="2" name="customer_subscription_churn_usage_patterns[signup_date]" queryTableFieldId="2" dataDxfId="7"/>
    <tableColumn id="3" xr3:uid="{093FEB32-1D4C-4990-A983-7738073FDEDA}" uniqueName="3" name="customer_subscription_churn_usage_patterns[plan_type]" queryTableFieldId="3"/>
    <tableColumn id="4" xr3:uid="{5CD31300-201D-4C21-88DD-ABE9824590F6}" uniqueName="4" name="customer_subscription_churn_usage_patterns[monthly_fee]" queryTableFieldId="4"/>
    <tableColumn id="5" xr3:uid="{96EC5D50-FB26-4196-A69E-C0EF36A5849C}" uniqueName="5" name="customer_subscription_churn_usage_patterns[avg_weekly_usage_hours]" queryTableFieldId="5"/>
    <tableColumn id="6" xr3:uid="{4373A5E3-60C3-4C1C-8CD8-DFAAEE0DBABC}" uniqueName="6" name="customer_subscription_churn_usage_patterns[support_tickets]" queryTableFieldId="6"/>
    <tableColumn id="7" xr3:uid="{064C4AC9-BF5C-4382-9C35-2DBFEED70997}" uniqueName="7" name="customer_subscription_churn_usage_patterns[payment_failures]" queryTableFieldId="7"/>
    <tableColumn id="8" xr3:uid="{AF7D9943-7599-4E7C-B66C-290517CFA601}" uniqueName="8" name="customer_subscription_churn_usage_patterns[tenure_months]" queryTableFieldId="8"/>
    <tableColumn id="9" xr3:uid="{1B285287-DB99-4FD2-BED5-E413808BB39C}" uniqueName="9" name="customer_subscription_churn_usage_patterns[last_login_days_ago]" queryTableFieldId="9"/>
    <tableColumn id="10" xr3:uid="{A2835C2D-D6E9-46A7-851A-6D3AE9A37558}" uniqueName="10" name="customer_subscription_churn_usage_patterns[churn]" queryTableFieldId="10"/>
    <tableColumn id="11" xr3:uid="{6A472EF8-7FF3-4897-870A-146E337AC18A}" uniqueName="11" name="customer_subscription_churn_usage_patterns[Cohort_Month]" queryTableFieldId="11" dataDxfId="6"/>
    <tableColumn id="12" xr3:uid="{F1AC60D8-FF10-443B-86C5-93F90DE30847}" uniqueName="12" name="customer_subscription_churn_usage_patterns[Churn_Data]" queryTableFieldId="12" dataDxfId="5"/>
    <tableColumn id="13" xr3:uid="{1C8911C2-04BA-45FB-A56B-2FBB32F507CE}" uniqueName="13" name="customer_subscription_churn_usage_patterns[Churn_Month]" queryTableFieldId="13" dataDxfId="4"/>
    <tableColumn id="14" xr3:uid="{B074937B-A157-406A-A82C-23C641552C59}" uniqueName="14" name="customer_subscription_churn_usage_patterns[Cohort_Month (Year)]" queryTableFieldId="14"/>
    <tableColumn id="15" xr3:uid="{82DF0BC0-D2EE-48DB-8D61-0E6BD2648186}" uniqueName="15" name="customer_subscription_churn_usage_patterns[Cohort_Month (Quarter)]" queryTableFieldId="15"/>
    <tableColumn id="16" xr3:uid="{0434044D-44EE-400D-B1B1-D34BD811E715}" uniqueName="16" name="customer_subscription_churn_usage_patterns[Cohort_Month (Month)]" queryTableFieldId="16"/>
    <tableColumn id="17" xr3:uid="{EC479873-427A-4B94-9473-B226592C1F7E}" uniqueName="17" name="customer_subscription_churn_usage_patterns[Cohort_Month (Month Index)]"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C7DCB1-1544-4905-937B-644B99AD79D8}" name="Table_ExternalData_13" displayName="Table_ExternalData_13" ref="A3:Q9" tableType="queryTable" totalsRowShown="0">
  <autoFilter ref="A3:Q9" xr:uid="{83C7DCB1-1544-4905-937B-644B99AD79D8}"/>
  <tableColumns count="17">
    <tableColumn id="1" xr3:uid="{A26C9C8E-164A-4B99-A40E-CB479179EE57}" uniqueName="1" name="customer_subscription_churn_usage_patterns[user_id]" queryTableFieldId="1"/>
    <tableColumn id="2" xr3:uid="{F02E8AE4-4F8F-47B6-A435-FB5DE22AE4AA}" uniqueName="2" name="customer_subscription_churn_usage_patterns[signup_date]" queryTableFieldId="2" dataDxfId="3"/>
    <tableColumn id="3" xr3:uid="{72FC2F2F-926C-431F-A368-C9976E598024}" uniqueName="3" name="customer_subscription_churn_usage_patterns[plan_type]" queryTableFieldId="3"/>
    <tableColumn id="4" xr3:uid="{DD9BBF6F-D695-4E64-AB22-F85349D43AC2}" uniqueName="4" name="customer_subscription_churn_usage_patterns[monthly_fee]" queryTableFieldId="4"/>
    <tableColumn id="5" xr3:uid="{BA54862F-F348-498B-A226-0A114F7F17FE}" uniqueName="5" name="customer_subscription_churn_usage_patterns[avg_weekly_usage_hours]" queryTableFieldId="5"/>
    <tableColumn id="6" xr3:uid="{F0152C19-F740-4423-98BC-6A58A1191E1A}" uniqueName="6" name="customer_subscription_churn_usage_patterns[support_tickets]" queryTableFieldId="6"/>
    <tableColumn id="7" xr3:uid="{1A07B0FC-6F69-47B4-B4E6-0CC5BEBD55F1}" uniqueName="7" name="customer_subscription_churn_usage_patterns[payment_failures]" queryTableFieldId="7"/>
    <tableColumn id="8" xr3:uid="{732F2C5B-A7B0-4AD5-B0EB-1049510CE7E4}" uniqueName="8" name="customer_subscription_churn_usage_patterns[tenure_months]" queryTableFieldId="8"/>
    <tableColumn id="9" xr3:uid="{987100B2-1E18-4389-ACA7-CBB921AF9926}" uniqueName="9" name="customer_subscription_churn_usage_patterns[last_login_days_ago]" queryTableFieldId="9"/>
    <tableColumn id="10" xr3:uid="{60FD35E3-9839-4FA7-ACEF-DCAF075550D2}" uniqueName="10" name="customer_subscription_churn_usage_patterns[churn]" queryTableFieldId="10"/>
    <tableColumn id="11" xr3:uid="{A9C57CB7-0692-413C-B66E-D8236B4FF506}" uniqueName="11" name="customer_subscription_churn_usage_patterns[Cohort_Month]" queryTableFieldId="11" dataDxfId="2"/>
    <tableColumn id="12" xr3:uid="{1D932C42-7777-4CA5-9574-7552232C380F}" uniqueName="12" name="customer_subscription_churn_usage_patterns[Churn_Data]" queryTableFieldId="12" dataDxfId="1"/>
    <tableColumn id="13" xr3:uid="{C6554FA6-E884-4B48-BC54-80000C309C90}" uniqueName="13" name="customer_subscription_churn_usage_patterns[Churn_Month]" queryTableFieldId="13" dataDxfId="0"/>
    <tableColumn id="14" xr3:uid="{AD276BB4-3A46-4F03-819A-785246D00891}" uniqueName="14" name="customer_subscription_churn_usage_patterns[Cohort_Month (Year)]" queryTableFieldId="14"/>
    <tableColumn id="15" xr3:uid="{07CB0028-A1D7-49B4-8B09-0AEED86F37D4}" uniqueName="15" name="customer_subscription_churn_usage_patterns[Cohort_Month (Quarter)]" queryTableFieldId="15"/>
    <tableColumn id="16" xr3:uid="{4324A5C6-4537-49A5-93C2-B9F546C370CF}" uniqueName="16" name="customer_subscription_churn_usage_patterns[Cohort_Month (Month)]" queryTableFieldId="16"/>
    <tableColumn id="17" xr3:uid="{0B16FEFA-864E-4A28-9E3E-1387BD787654}" uniqueName="17" name="customer_subscription_churn_usage_patterns[Cohort_Month (Month Index)]"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CBA7-DE4C-4450-BF33-0A2257F98548}">
  <dimension ref="A1:Q13"/>
  <sheetViews>
    <sheetView workbookViewId="0">
      <selection activeCell="B20" sqref="B20"/>
    </sheetView>
  </sheetViews>
  <sheetFormatPr defaultRowHeight="14.4" x14ac:dyDescent="0.3"/>
  <cols>
    <col min="1" max="1" width="49.21875" bestFit="1" customWidth="1"/>
    <col min="2" max="2" width="53.33203125" bestFit="1" customWidth="1"/>
    <col min="3" max="3" width="51.33203125" bestFit="1" customWidth="1"/>
    <col min="4" max="4" width="53.44140625" bestFit="1" customWidth="1"/>
    <col min="5" max="5" width="63.77734375" bestFit="1" customWidth="1"/>
    <col min="6" max="6" width="56.44140625" bestFit="1" customWidth="1"/>
    <col min="7" max="7" width="57.77734375" bestFit="1" customWidth="1"/>
    <col min="8" max="8" width="55.6640625" bestFit="1" customWidth="1"/>
    <col min="9" max="9" width="59.6640625" bestFit="1" customWidth="1"/>
    <col min="10" max="10" width="47.77734375" bestFit="1" customWidth="1"/>
    <col min="11" max="11" width="54.77734375" bestFit="1" customWidth="1"/>
    <col min="12" max="12" width="52.88671875" bestFit="1" customWidth="1"/>
    <col min="13" max="13" width="54.109375" bestFit="1" customWidth="1"/>
    <col min="14" max="14" width="60.21875" bestFit="1" customWidth="1"/>
    <col min="15" max="15" width="63" bestFit="1" customWidth="1"/>
    <col min="16" max="16" width="61.77734375" bestFit="1" customWidth="1"/>
    <col min="17" max="17" width="66.77734375" bestFit="1" customWidth="1"/>
  </cols>
  <sheetData>
    <row r="1" spans="1:17" x14ac:dyDescent="0.3">
      <c r="A1" s="5" t="s">
        <v>39</v>
      </c>
    </row>
    <row r="3" spans="1:17" x14ac:dyDescent="0.3">
      <c r="A3" t="s">
        <v>9</v>
      </c>
      <c r="B3" t="s">
        <v>10</v>
      </c>
      <c r="C3" t="s">
        <v>11</v>
      </c>
      <c r="D3" t="s">
        <v>12</v>
      </c>
      <c r="E3" t="s">
        <v>13</v>
      </c>
      <c r="F3" t="s">
        <v>14</v>
      </c>
      <c r="G3" t="s">
        <v>15</v>
      </c>
      <c r="H3" t="s">
        <v>16</v>
      </c>
      <c r="I3" t="s">
        <v>17</v>
      </c>
      <c r="J3" t="s">
        <v>18</v>
      </c>
      <c r="K3" t="s">
        <v>19</v>
      </c>
      <c r="L3" t="s">
        <v>20</v>
      </c>
      <c r="M3" t="s">
        <v>21</v>
      </c>
      <c r="N3" t="s">
        <v>22</v>
      </c>
      <c r="O3" t="s">
        <v>23</v>
      </c>
      <c r="P3" t="s">
        <v>24</v>
      </c>
      <c r="Q3" t="s">
        <v>25</v>
      </c>
    </row>
    <row r="4" spans="1:17" x14ac:dyDescent="0.3">
      <c r="A4" t="s">
        <v>26</v>
      </c>
      <c r="B4" s="4">
        <v>45262</v>
      </c>
      <c r="C4" t="s">
        <v>7</v>
      </c>
      <c r="D4">
        <v>699</v>
      </c>
      <c r="E4">
        <v>2.6</v>
      </c>
      <c r="F4">
        <v>2</v>
      </c>
      <c r="G4">
        <v>1</v>
      </c>
      <c r="H4">
        <v>10</v>
      </c>
      <c r="I4">
        <v>14</v>
      </c>
      <c r="J4" t="b">
        <v>0</v>
      </c>
      <c r="K4" s="4">
        <v>45261</v>
      </c>
      <c r="L4" s="4"/>
      <c r="M4" s="4"/>
      <c r="N4" t="s">
        <v>27</v>
      </c>
      <c r="O4" t="s">
        <v>28</v>
      </c>
      <c r="P4" t="s">
        <v>3</v>
      </c>
      <c r="Q4">
        <v>12</v>
      </c>
    </row>
    <row r="5" spans="1:17" x14ac:dyDescent="0.3">
      <c r="A5" t="s">
        <v>29</v>
      </c>
      <c r="B5" s="4">
        <v>45629</v>
      </c>
      <c r="C5" t="s">
        <v>8</v>
      </c>
      <c r="D5">
        <v>399</v>
      </c>
      <c r="E5">
        <v>9.6</v>
      </c>
      <c r="F5">
        <v>1</v>
      </c>
      <c r="G5">
        <v>1</v>
      </c>
      <c r="H5">
        <v>10</v>
      </c>
      <c r="I5">
        <v>10</v>
      </c>
      <c r="J5" t="b">
        <v>0</v>
      </c>
      <c r="K5" s="4">
        <v>45627</v>
      </c>
      <c r="L5" s="4"/>
      <c r="M5" s="4"/>
      <c r="N5" t="s">
        <v>30</v>
      </c>
      <c r="O5" t="s">
        <v>28</v>
      </c>
      <c r="P5" t="s">
        <v>3</v>
      </c>
      <c r="Q5">
        <v>12</v>
      </c>
    </row>
    <row r="6" spans="1:17" x14ac:dyDescent="0.3">
      <c r="A6" t="s">
        <v>31</v>
      </c>
      <c r="B6" s="4">
        <v>45263</v>
      </c>
      <c r="C6" t="s">
        <v>8</v>
      </c>
      <c r="D6">
        <v>399</v>
      </c>
      <c r="E6">
        <v>19.600000000000001</v>
      </c>
      <c r="F6">
        <v>1</v>
      </c>
      <c r="G6">
        <v>0</v>
      </c>
      <c r="H6">
        <v>10</v>
      </c>
      <c r="I6">
        <v>20</v>
      </c>
      <c r="J6" t="b">
        <v>0</v>
      </c>
      <c r="K6" s="4">
        <v>45261</v>
      </c>
      <c r="L6" s="4"/>
      <c r="M6" s="4"/>
      <c r="N6" t="s">
        <v>27</v>
      </c>
      <c r="O6" t="s">
        <v>28</v>
      </c>
      <c r="P6" t="s">
        <v>3</v>
      </c>
      <c r="Q6">
        <v>12</v>
      </c>
    </row>
    <row r="7" spans="1:17" x14ac:dyDescent="0.3">
      <c r="A7" t="s">
        <v>32</v>
      </c>
      <c r="B7" s="4">
        <v>45642</v>
      </c>
      <c r="C7" t="s">
        <v>7</v>
      </c>
      <c r="D7">
        <v>699</v>
      </c>
      <c r="E7">
        <v>8.6999999999999993</v>
      </c>
      <c r="F7">
        <v>2</v>
      </c>
      <c r="G7">
        <v>2</v>
      </c>
      <c r="H7">
        <v>10</v>
      </c>
      <c r="I7">
        <v>19</v>
      </c>
      <c r="J7" t="b">
        <v>0</v>
      </c>
      <c r="K7" s="4">
        <v>45627</v>
      </c>
      <c r="L7" s="4"/>
      <c r="M7" s="4"/>
      <c r="N7" t="s">
        <v>30</v>
      </c>
      <c r="O7" t="s">
        <v>28</v>
      </c>
      <c r="P7" t="s">
        <v>3</v>
      </c>
      <c r="Q7">
        <v>12</v>
      </c>
    </row>
    <row r="8" spans="1:17" x14ac:dyDescent="0.3">
      <c r="A8" t="s">
        <v>33</v>
      </c>
      <c r="B8" s="4">
        <v>45632</v>
      </c>
      <c r="C8" t="s">
        <v>6</v>
      </c>
      <c r="D8">
        <v>199</v>
      </c>
      <c r="E8">
        <v>16</v>
      </c>
      <c r="F8">
        <v>6</v>
      </c>
      <c r="G8">
        <v>2</v>
      </c>
      <c r="H8">
        <v>10</v>
      </c>
      <c r="I8">
        <v>22</v>
      </c>
      <c r="J8" t="b">
        <v>0</v>
      </c>
      <c r="K8" s="4">
        <v>45627</v>
      </c>
      <c r="L8" s="4"/>
      <c r="M8" s="4"/>
      <c r="N8" t="s">
        <v>30</v>
      </c>
      <c r="O8" t="s">
        <v>28</v>
      </c>
      <c r="P8" t="s">
        <v>3</v>
      </c>
      <c r="Q8">
        <v>12</v>
      </c>
    </row>
    <row r="9" spans="1:17" x14ac:dyDescent="0.3">
      <c r="A9" t="s">
        <v>34</v>
      </c>
      <c r="B9" s="4">
        <v>45262</v>
      </c>
      <c r="C9" t="s">
        <v>6</v>
      </c>
      <c r="D9">
        <v>199</v>
      </c>
      <c r="E9">
        <v>15</v>
      </c>
      <c r="F9">
        <v>3</v>
      </c>
      <c r="G9">
        <v>4</v>
      </c>
      <c r="H9">
        <v>10</v>
      </c>
      <c r="I9">
        <v>5</v>
      </c>
      <c r="J9" t="b">
        <v>0</v>
      </c>
      <c r="K9" s="4">
        <v>45261</v>
      </c>
      <c r="L9" s="4"/>
      <c r="M9" s="4"/>
      <c r="N9" t="s">
        <v>27</v>
      </c>
      <c r="O9" t="s">
        <v>28</v>
      </c>
      <c r="P9" t="s">
        <v>3</v>
      </c>
      <c r="Q9">
        <v>12</v>
      </c>
    </row>
    <row r="10" spans="1:17" x14ac:dyDescent="0.3">
      <c r="A10" t="s">
        <v>35</v>
      </c>
      <c r="B10" s="4">
        <v>45643</v>
      </c>
      <c r="C10" t="s">
        <v>8</v>
      </c>
      <c r="D10">
        <v>399</v>
      </c>
      <c r="E10">
        <v>2.4</v>
      </c>
      <c r="F10">
        <v>1</v>
      </c>
      <c r="G10">
        <v>4</v>
      </c>
      <c r="H10">
        <v>10</v>
      </c>
      <c r="I10">
        <v>15</v>
      </c>
      <c r="J10" t="b">
        <v>0</v>
      </c>
      <c r="K10" s="4">
        <v>45627</v>
      </c>
      <c r="L10" s="4"/>
      <c r="M10" s="4"/>
      <c r="N10" t="s">
        <v>30</v>
      </c>
      <c r="O10" t="s">
        <v>28</v>
      </c>
      <c r="P10" t="s">
        <v>3</v>
      </c>
      <c r="Q10">
        <v>12</v>
      </c>
    </row>
    <row r="11" spans="1:17" x14ac:dyDescent="0.3">
      <c r="A11" t="s">
        <v>36</v>
      </c>
      <c r="B11" s="4">
        <v>45648</v>
      </c>
      <c r="C11" t="s">
        <v>6</v>
      </c>
      <c r="D11">
        <v>199</v>
      </c>
      <c r="E11">
        <v>12.9</v>
      </c>
      <c r="F11">
        <v>7</v>
      </c>
      <c r="G11">
        <v>5</v>
      </c>
      <c r="H11">
        <v>10</v>
      </c>
      <c r="I11">
        <v>29</v>
      </c>
      <c r="J11" t="b">
        <v>1</v>
      </c>
      <c r="K11" s="4">
        <v>45627</v>
      </c>
      <c r="L11" s="4">
        <v>45952</v>
      </c>
      <c r="M11" s="4">
        <v>45931</v>
      </c>
      <c r="N11" t="s">
        <v>30</v>
      </c>
      <c r="O11" t="s">
        <v>28</v>
      </c>
      <c r="P11" t="s">
        <v>3</v>
      </c>
      <c r="Q11">
        <v>12</v>
      </c>
    </row>
    <row r="12" spans="1:17" x14ac:dyDescent="0.3">
      <c r="A12" t="s">
        <v>37</v>
      </c>
      <c r="B12" s="4">
        <v>45277</v>
      </c>
      <c r="C12" t="s">
        <v>6</v>
      </c>
      <c r="D12">
        <v>199</v>
      </c>
      <c r="E12">
        <v>8.9</v>
      </c>
      <c r="F12">
        <v>0</v>
      </c>
      <c r="G12">
        <v>5</v>
      </c>
      <c r="H12">
        <v>10</v>
      </c>
      <c r="I12">
        <v>15</v>
      </c>
      <c r="J12" t="b">
        <v>1</v>
      </c>
      <c r="K12" s="4">
        <v>45261</v>
      </c>
      <c r="L12" s="4">
        <v>45582</v>
      </c>
      <c r="M12" s="4">
        <v>45566</v>
      </c>
      <c r="N12" t="s">
        <v>27</v>
      </c>
      <c r="O12" t="s">
        <v>28</v>
      </c>
      <c r="P12" t="s">
        <v>3</v>
      </c>
      <c r="Q12">
        <v>12</v>
      </c>
    </row>
    <row r="13" spans="1:17" x14ac:dyDescent="0.3">
      <c r="A13" t="s">
        <v>38</v>
      </c>
      <c r="B13" s="4">
        <v>45286</v>
      </c>
      <c r="C13" t="s">
        <v>7</v>
      </c>
      <c r="D13">
        <v>699</v>
      </c>
      <c r="E13">
        <v>2.2000000000000002</v>
      </c>
      <c r="F13">
        <v>0</v>
      </c>
      <c r="G13">
        <v>4</v>
      </c>
      <c r="H13">
        <v>10</v>
      </c>
      <c r="I13">
        <v>41</v>
      </c>
      <c r="J13" t="b">
        <v>1</v>
      </c>
      <c r="K13" s="4">
        <v>45261</v>
      </c>
      <c r="L13" s="4">
        <v>45591</v>
      </c>
      <c r="M13" s="4">
        <v>45566</v>
      </c>
      <c r="N13" t="s">
        <v>27</v>
      </c>
      <c r="O13" t="s">
        <v>28</v>
      </c>
      <c r="P13" t="s">
        <v>3</v>
      </c>
      <c r="Q13">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9F89-93C2-407B-8A81-4DBA39410BD3}">
  <dimension ref="A1:Q9"/>
  <sheetViews>
    <sheetView workbookViewId="0"/>
  </sheetViews>
  <sheetFormatPr defaultRowHeight="14.4" x14ac:dyDescent="0.3"/>
  <cols>
    <col min="1" max="1" width="49.21875" bestFit="1" customWidth="1"/>
    <col min="2" max="2" width="53.33203125" bestFit="1" customWidth="1"/>
    <col min="3" max="3" width="51.33203125" bestFit="1" customWidth="1"/>
    <col min="4" max="4" width="53.44140625" bestFit="1" customWidth="1"/>
    <col min="5" max="5" width="63.77734375" bestFit="1" customWidth="1"/>
    <col min="6" max="6" width="56.44140625" bestFit="1" customWidth="1"/>
    <col min="7" max="7" width="57.77734375" bestFit="1" customWidth="1"/>
    <col min="8" max="8" width="55.6640625" bestFit="1" customWidth="1"/>
    <col min="9" max="9" width="59.6640625" bestFit="1" customWidth="1"/>
    <col min="10" max="10" width="47.77734375" bestFit="1" customWidth="1"/>
    <col min="11" max="11" width="54.77734375" bestFit="1" customWidth="1"/>
    <col min="12" max="12" width="52.88671875" bestFit="1" customWidth="1"/>
    <col min="13" max="13" width="54.109375" bestFit="1" customWidth="1"/>
    <col min="14" max="14" width="60.21875" bestFit="1" customWidth="1"/>
    <col min="15" max="15" width="63" bestFit="1" customWidth="1"/>
    <col min="16" max="16" width="61.77734375" bestFit="1" customWidth="1"/>
    <col min="17" max="17" width="66.77734375" bestFit="1" customWidth="1"/>
  </cols>
  <sheetData>
    <row r="1" spans="1:17" x14ac:dyDescent="0.3">
      <c r="A1" s="5" t="s">
        <v>47</v>
      </c>
    </row>
    <row r="3" spans="1:17" x14ac:dyDescent="0.3">
      <c r="A3" t="s">
        <v>9</v>
      </c>
      <c r="B3" t="s">
        <v>10</v>
      </c>
      <c r="C3" t="s">
        <v>11</v>
      </c>
      <c r="D3" t="s">
        <v>12</v>
      </c>
      <c r="E3" t="s">
        <v>13</v>
      </c>
      <c r="F3" t="s">
        <v>14</v>
      </c>
      <c r="G3" t="s">
        <v>15</v>
      </c>
      <c r="H3" t="s">
        <v>16</v>
      </c>
      <c r="I3" t="s">
        <v>17</v>
      </c>
      <c r="J3" t="s">
        <v>18</v>
      </c>
      <c r="K3" t="s">
        <v>19</v>
      </c>
      <c r="L3" t="s">
        <v>20</v>
      </c>
      <c r="M3" t="s">
        <v>21</v>
      </c>
      <c r="N3" t="s">
        <v>22</v>
      </c>
      <c r="O3" t="s">
        <v>23</v>
      </c>
      <c r="P3" t="s">
        <v>24</v>
      </c>
      <c r="Q3" t="s">
        <v>25</v>
      </c>
    </row>
    <row r="4" spans="1:17" x14ac:dyDescent="0.3">
      <c r="A4" t="s">
        <v>40</v>
      </c>
      <c r="B4" s="4">
        <v>44942</v>
      </c>
      <c r="C4" t="s">
        <v>6</v>
      </c>
      <c r="D4">
        <v>199</v>
      </c>
      <c r="E4">
        <v>6.1</v>
      </c>
      <c r="F4">
        <v>8</v>
      </c>
      <c r="G4">
        <v>4</v>
      </c>
      <c r="H4">
        <v>1</v>
      </c>
      <c r="I4">
        <v>2</v>
      </c>
      <c r="J4" t="b">
        <v>0</v>
      </c>
      <c r="K4" s="4">
        <v>44927</v>
      </c>
      <c r="L4" s="4"/>
      <c r="M4" s="4"/>
      <c r="N4" t="s">
        <v>27</v>
      </c>
      <c r="O4" t="s">
        <v>41</v>
      </c>
      <c r="P4" t="s">
        <v>2</v>
      </c>
      <c r="Q4">
        <v>1</v>
      </c>
    </row>
    <row r="5" spans="1:17" x14ac:dyDescent="0.3">
      <c r="A5" t="s">
        <v>42</v>
      </c>
      <c r="B5" s="4">
        <v>45297</v>
      </c>
      <c r="C5" t="s">
        <v>8</v>
      </c>
      <c r="D5">
        <v>399</v>
      </c>
      <c r="E5">
        <v>0.8</v>
      </c>
      <c r="F5">
        <v>3</v>
      </c>
      <c r="G5">
        <v>3</v>
      </c>
      <c r="H5">
        <v>1</v>
      </c>
      <c r="I5">
        <v>37</v>
      </c>
      <c r="J5" t="b">
        <v>1</v>
      </c>
      <c r="K5" s="4">
        <v>45292</v>
      </c>
      <c r="L5" s="4">
        <v>45328</v>
      </c>
      <c r="M5" s="4">
        <v>45323</v>
      </c>
      <c r="N5" t="s">
        <v>30</v>
      </c>
      <c r="O5" t="s">
        <v>41</v>
      </c>
      <c r="P5" t="s">
        <v>2</v>
      </c>
      <c r="Q5">
        <v>1</v>
      </c>
    </row>
    <row r="6" spans="1:17" x14ac:dyDescent="0.3">
      <c r="A6" t="s">
        <v>43</v>
      </c>
      <c r="B6" s="4">
        <v>44946</v>
      </c>
      <c r="C6" t="s">
        <v>8</v>
      </c>
      <c r="D6">
        <v>399</v>
      </c>
      <c r="E6">
        <v>19.5</v>
      </c>
      <c r="F6">
        <v>8</v>
      </c>
      <c r="G6">
        <v>3</v>
      </c>
      <c r="H6">
        <v>1</v>
      </c>
      <c r="I6">
        <v>46</v>
      </c>
      <c r="J6" t="b">
        <v>1</v>
      </c>
      <c r="K6" s="4">
        <v>44927</v>
      </c>
      <c r="L6" s="4">
        <v>44977</v>
      </c>
      <c r="M6" s="4">
        <v>44958</v>
      </c>
      <c r="N6" t="s">
        <v>27</v>
      </c>
      <c r="O6" t="s">
        <v>41</v>
      </c>
      <c r="P6" t="s">
        <v>2</v>
      </c>
      <c r="Q6">
        <v>1</v>
      </c>
    </row>
    <row r="7" spans="1:17" x14ac:dyDescent="0.3">
      <c r="A7" t="s">
        <v>44</v>
      </c>
      <c r="B7" s="4">
        <v>45304</v>
      </c>
      <c r="C7" t="s">
        <v>6</v>
      </c>
      <c r="D7">
        <v>199</v>
      </c>
      <c r="E7">
        <v>3.7</v>
      </c>
      <c r="F7">
        <v>8</v>
      </c>
      <c r="G7">
        <v>5</v>
      </c>
      <c r="H7">
        <v>1</v>
      </c>
      <c r="I7">
        <v>45</v>
      </c>
      <c r="J7" t="b">
        <v>1</v>
      </c>
      <c r="K7" s="4">
        <v>45292</v>
      </c>
      <c r="L7" s="4">
        <v>45335</v>
      </c>
      <c r="M7" s="4">
        <v>45323</v>
      </c>
      <c r="N7" t="s">
        <v>30</v>
      </c>
      <c r="O7" t="s">
        <v>41</v>
      </c>
      <c r="P7" t="s">
        <v>2</v>
      </c>
      <c r="Q7">
        <v>1</v>
      </c>
    </row>
    <row r="8" spans="1:17" x14ac:dyDescent="0.3">
      <c r="A8" t="s">
        <v>45</v>
      </c>
      <c r="B8" s="4">
        <v>45292</v>
      </c>
      <c r="C8" t="s">
        <v>6</v>
      </c>
      <c r="D8">
        <v>199</v>
      </c>
      <c r="E8">
        <v>23</v>
      </c>
      <c r="F8">
        <v>0</v>
      </c>
      <c r="G8">
        <v>2</v>
      </c>
      <c r="H8">
        <v>1</v>
      </c>
      <c r="I8">
        <v>54</v>
      </c>
      <c r="J8" t="b">
        <v>1</v>
      </c>
      <c r="K8" s="4">
        <v>45292</v>
      </c>
      <c r="L8" s="4">
        <v>45323</v>
      </c>
      <c r="M8" s="4">
        <v>45323</v>
      </c>
      <c r="N8" t="s">
        <v>30</v>
      </c>
      <c r="O8" t="s">
        <v>41</v>
      </c>
      <c r="P8" t="s">
        <v>2</v>
      </c>
      <c r="Q8">
        <v>1</v>
      </c>
    </row>
    <row r="9" spans="1:17" x14ac:dyDescent="0.3">
      <c r="A9" t="s">
        <v>46</v>
      </c>
      <c r="B9" s="4">
        <v>44944</v>
      </c>
      <c r="C9" t="s">
        <v>7</v>
      </c>
      <c r="D9">
        <v>699</v>
      </c>
      <c r="E9">
        <v>5.9</v>
      </c>
      <c r="F9">
        <v>4</v>
      </c>
      <c r="G9">
        <v>0</v>
      </c>
      <c r="H9">
        <v>1</v>
      </c>
      <c r="I9">
        <v>15</v>
      </c>
      <c r="J9" t="b">
        <v>1</v>
      </c>
      <c r="K9" s="4">
        <v>44927</v>
      </c>
      <c r="L9" s="4">
        <v>44975</v>
      </c>
      <c r="M9" s="4">
        <v>44958</v>
      </c>
      <c r="N9" t="s">
        <v>27</v>
      </c>
      <c r="O9" t="s">
        <v>41</v>
      </c>
      <c r="P9" t="s">
        <v>2</v>
      </c>
      <c r="Q9">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9823-AC0F-4BE1-9D71-FACBC46FA7FD}">
  <dimension ref="A3:Z29"/>
  <sheetViews>
    <sheetView tabSelected="1" workbookViewId="0">
      <selection activeCell="W5" sqref="W5"/>
    </sheetView>
  </sheetViews>
  <sheetFormatPr defaultRowHeight="14.4" x14ac:dyDescent="0.3"/>
  <cols>
    <col min="1" max="1" width="13.21875" bestFit="1" customWidth="1"/>
    <col min="2" max="2" width="15.5546875" bestFit="1" customWidth="1"/>
    <col min="3" max="3" width="5.5546875" bestFit="1" customWidth="1"/>
    <col min="4" max="25" width="4.5546875" bestFit="1" customWidth="1"/>
    <col min="26" max="26" width="10.5546875" bestFit="1" customWidth="1"/>
    <col min="27" max="37" width="6.109375" bestFit="1" customWidth="1"/>
    <col min="38" max="38" width="10.5546875" bestFit="1" customWidth="1"/>
    <col min="39" max="39" width="14.21875" bestFit="1" customWidth="1"/>
    <col min="40" max="40" width="13.21875" bestFit="1" customWidth="1"/>
    <col min="41" max="41" width="14.21875" bestFit="1" customWidth="1"/>
    <col min="42" max="42" width="13.21875" bestFit="1" customWidth="1"/>
    <col min="43" max="43" width="14.21875" bestFit="1" customWidth="1"/>
    <col min="44" max="44" width="13.21875" bestFit="1" customWidth="1"/>
    <col min="45" max="45" width="14.21875" bestFit="1" customWidth="1"/>
    <col min="46" max="46" width="13.21875" bestFit="1" customWidth="1"/>
    <col min="47" max="47" width="14.21875" bestFit="1" customWidth="1"/>
    <col min="48" max="48" width="13.21875" bestFit="1" customWidth="1"/>
    <col min="49" max="49" width="14.21875" bestFit="1" customWidth="1"/>
    <col min="50" max="50" width="13.21875" bestFit="1" customWidth="1"/>
    <col min="51" max="51" width="14.21875" bestFit="1" customWidth="1"/>
    <col min="52" max="52" width="13.21875" bestFit="1" customWidth="1"/>
    <col min="53" max="53" width="14.21875" bestFit="1" customWidth="1"/>
    <col min="54" max="54" width="13.21875" bestFit="1" customWidth="1"/>
    <col min="55" max="55" width="14.21875" bestFit="1" customWidth="1"/>
    <col min="56" max="56" width="13.21875" bestFit="1" customWidth="1"/>
    <col min="57" max="57" width="14.21875" bestFit="1" customWidth="1"/>
    <col min="58" max="58" width="13.21875" bestFit="1" customWidth="1"/>
    <col min="59" max="59" width="14.21875" bestFit="1" customWidth="1"/>
    <col min="60" max="60" width="13.21875" bestFit="1" customWidth="1"/>
    <col min="61" max="61" width="14.21875" bestFit="1" customWidth="1"/>
    <col min="62" max="62" width="13.21875" bestFit="1" customWidth="1"/>
    <col min="63" max="63" width="14.21875" bestFit="1" customWidth="1"/>
    <col min="64" max="64" width="13.21875" bestFit="1" customWidth="1"/>
    <col min="65" max="65" width="14.21875" bestFit="1" customWidth="1"/>
    <col min="66" max="66" width="13.21875" bestFit="1" customWidth="1"/>
    <col min="67" max="67" width="14.21875" bestFit="1" customWidth="1"/>
    <col min="68" max="68" width="13.21875" bestFit="1" customWidth="1"/>
    <col min="69" max="69" width="14.21875" bestFit="1" customWidth="1"/>
    <col min="70" max="70" width="13.21875" bestFit="1" customWidth="1"/>
    <col min="71" max="71" width="14.21875" bestFit="1" customWidth="1"/>
    <col min="72" max="72" width="13.21875" bestFit="1" customWidth="1"/>
    <col min="73" max="73" width="14.21875" bestFit="1" customWidth="1"/>
    <col min="74" max="74" width="17.77734375" bestFit="1" customWidth="1"/>
    <col min="75" max="75" width="18.77734375" bestFit="1" customWidth="1"/>
  </cols>
  <sheetData>
    <row r="3" spans="1:26" x14ac:dyDescent="0.3">
      <c r="A3" s="1" t="s">
        <v>5</v>
      </c>
      <c r="B3" s="1" t="s">
        <v>4</v>
      </c>
    </row>
    <row r="4" spans="1:26" x14ac:dyDescent="0.3">
      <c r="A4" s="1" t="s">
        <v>0</v>
      </c>
      <c r="B4">
        <v>1</v>
      </c>
      <c r="C4">
        <v>2</v>
      </c>
      <c r="D4">
        <v>3</v>
      </c>
      <c r="E4">
        <v>4</v>
      </c>
      <c r="F4">
        <v>5</v>
      </c>
      <c r="G4">
        <v>6</v>
      </c>
      <c r="H4">
        <v>7</v>
      </c>
      <c r="I4">
        <v>8</v>
      </c>
      <c r="J4">
        <v>9</v>
      </c>
      <c r="K4">
        <v>10</v>
      </c>
      <c r="L4">
        <v>11</v>
      </c>
      <c r="M4">
        <v>12</v>
      </c>
      <c r="N4">
        <v>13</v>
      </c>
      <c r="O4">
        <v>14</v>
      </c>
      <c r="P4">
        <v>15</v>
      </c>
      <c r="Q4">
        <v>16</v>
      </c>
      <c r="R4">
        <v>17</v>
      </c>
      <c r="S4">
        <v>18</v>
      </c>
      <c r="T4">
        <v>19</v>
      </c>
      <c r="U4">
        <v>20</v>
      </c>
      <c r="V4">
        <v>21</v>
      </c>
      <c r="W4">
        <v>22</v>
      </c>
      <c r="X4">
        <v>23</v>
      </c>
      <c r="Y4">
        <v>24</v>
      </c>
      <c r="Z4" t="s">
        <v>1</v>
      </c>
    </row>
    <row r="5" spans="1:26" x14ac:dyDescent="0.3">
      <c r="A5" s="6">
        <v>44927</v>
      </c>
      <c r="B5" s="3">
        <v>1</v>
      </c>
      <c r="C5" s="3">
        <v>0.96590909090909094</v>
      </c>
      <c r="D5" s="3">
        <v>0.95454545454545459</v>
      </c>
      <c r="E5" s="3">
        <v>0.93181818181818177</v>
      </c>
      <c r="F5" s="3">
        <v>0.92045454545454541</v>
      </c>
      <c r="G5" s="3">
        <v>0.88636363636363635</v>
      </c>
      <c r="H5" s="3">
        <v>0.84090909090909094</v>
      </c>
      <c r="I5" s="3">
        <v>0.79545454545454541</v>
      </c>
      <c r="J5" s="3">
        <v>0.73863636363636365</v>
      </c>
      <c r="K5" s="3">
        <v>0.70454545454545459</v>
      </c>
      <c r="L5" s="3">
        <v>0.67045454545454541</v>
      </c>
      <c r="M5" s="3">
        <v>0.63636363636363635</v>
      </c>
      <c r="N5" s="3"/>
      <c r="O5" s="3">
        <v>0.60227272727272729</v>
      </c>
      <c r="P5" s="3">
        <v>0.59090909090909094</v>
      </c>
      <c r="Q5" s="3">
        <v>0.55681818181818177</v>
      </c>
      <c r="R5" s="3">
        <v>0.51136363636363635</v>
      </c>
      <c r="S5" s="3">
        <v>0.47727272727272729</v>
      </c>
      <c r="T5" s="3">
        <v>0.45454545454545453</v>
      </c>
      <c r="U5" s="3">
        <v>0.43181818181818182</v>
      </c>
      <c r="V5" s="3">
        <v>0.42045454545454547</v>
      </c>
      <c r="W5" s="3"/>
      <c r="X5" s="3">
        <v>0.38636363636363635</v>
      </c>
      <c r="Y5" s="3">
        <v>0.375</v>
      </c>
      <c r="Z5" s="3">
        <v>0.375</v>
      </c>
    </row>
    <row r="6" spans="1:26" x14ac:dyDescent="0.3">
      <c r="A6" s="6">
        <v>44958</v>
      </c>
      <c r="B6" s="3">
        <v>1</v>
      </c>
      <c r="C6" s="3">
        <v>0.9821428571428571</v>
      </c>
      <c r="D6" s="3">
        <v>0.9553571428571429</v>
      </c>
      <c r="E6" s="3">
        <v>0.9375</v>
      </c>
      <c r="F6" s="3">
        <v>0.9017857142857143</v>
      </c>
      <c r="G6" s="3">
        <v>0.8839285714285714</v>
      </c>
      <c r="H6" s="3">
        <v>0.8571428571428571</v>
      </c>
      <c r="I6" s="3">
        <v>0.8035714285714286</v>
      </c>
      <c r="J6" s="3">
        <v>0.7767857142857143</v>
      </c>
      <c r="K6" s="3">
        <v>0.7321428571428571</v>
      </c>
      <c r="L6" s="3">
        <v>0.6875</v>
      </c>
      <c r="M6" s="3">
        <v>0.6339285714285714</v>
      </c>
      <c r="N6" s="3">
        <v>0.5892857142857143</v>
      </c>
      <c r="O6" s="3">
        <v>0.5803571428571429</v>
      </c>
      <c r="P6" s="3">
        <v>0.5714285714285714</v>
      </c>
      <c r="Q6" s="3">
        <v>0.5446428571428571</v>
      </c>
      <c r="R6" s="3">
        <v>0.5178571428571429</v>
      </c>
      <c r="S6" s="3">
        <v>0.5</v>
      </c>
      <c r="T6" s="3">
        <v>0.48214285714285715</v>
      </c>
      <c r="U6" s="3"/>
      <c r="V6" s="3">
        <v>0.4375</v>
      </c>
      <c r="W6" s="3">
        <v>0.41964285714285715</v>
      </c>
      <c r="X6" s="3">
        <v>0.4017857142857143</v>
      </c>
      <c r="Y6" s="3">
        <v>0.38392857142857145</v>
      </c>
      <c r="Z6" s="3">
        <v>0.38392857142857145</v>
      </c>
    </row>
    <row r="7" spans="1:26" x14ac:dyDescent="0.3">
      <c r="A7" s="6">
        <v>44986</v>
      </c>
      <c r="B7" s="3">
        <v>1</v>
      </c>
      <c r="C7" s="3"/>
      <c r="D7" s="3">
        <v>0.96969696969696972</v>
      </c>
      <c r="E7" s="3">
        <v>0.93939393939393945</v>
      </c>
      <c r="F7" s="3">
        <v>0.90909090909090906</v>
      </c>
      <c r="G7" s="3">
        <v>0.89898989898989901</v>
      </c>
      <c r="H7" s="3">
        <v>0.83838383838383834</v>
      </c>
      <c r="I7" s="3">
        <v>0.81818181818181823</v>
      </c>
      <c r="J7" s="3">
        <v>0.79797979797979801</v>
      </c>
      <c r="K7" s="3">
        <v>0.77777777777777779</v>
      </c>
      <c r="L7" s="3">
        <v>0.74747474747474751</v>
      </c>
      <c r="M7" s="3">
        <v>0.72727272727272729</v>
      </c>
      <c r="N7" s="3">
        <v>0.71717171717171713</v>
      </c>
      <c r="O7" s="3">
        <v>0.66666666666666663</v>
      </c>
      <c r="P7" s="3">
        <v>0.64646464646464652</v>
      </c>
      <c r="Q7" s="3">
        <v>0.5757575757575758</v>
      </c>
      <c r="R7" s="3">
        <v>0.51515151515151514</v>
      </c>
      <c r="S7" s="3">
        <v>0.50505050505050508</v>
      </c>
      <c r="T7" s="3">
        <v>0.48484848484848486</v>
      </c>
      <c r="U7" s="3"/>
      <c r="V7" s="3">
        <v>0.43434343434343436</v>
      </c>
      <c r="W7" s="3">
        <v>0.40404040404040403</v>
      </c>
      <c r="X7" s="3">
        <v>0.38383838383838381</v>
      </c>
      <c r="Y7" s="3">
        <v>0.37373737373737376</v>
      </c>
      <c r="Z7" s="3">
        <v>0.37373737373737376</v>
      </c>
    </row>
    <row r="8" spans="1:26" x14ac:dyDescent="0.3">
      <c r="A8" s="6">
        <v>45017</v>
      </c>
      <c r="B8" s="3">
        <v>1</v>
      </c>
      <c r="C8" s="3">
        <v>0.96610169491525422</v>
      </c>
      <c r="D8" s="3">
        <v>0.94915254237288138</v>
      </c>
      <c r="E8" s="3">
        <v>0.9152542372881356</v>
      </c>
      <c r="F8" s="3">
        <v>0.88135593220338981</v>
      </c>
      <c r="G8" s="3">
        <v>0.84745762711864403</v>
      </c>
      <c r="H8" s="3"/>
      <c r="I8" s="3">
        <v>0.83050847457627119</v>
      </c>
      <c r="J8" s="3">
        <v>0.80508474576271183</v>
      </c>
      <c r="K8" s="3">
        <v>0.78813559322033899</v>
      </c>
      <c r="L8" s="3">
        <v>0.74576271186440679</v>
      </c>
      <c r="M8" s="3">
        <v>0.70338983050847459</v>
      </c>
      <c r="N8" s="3">
        <v>0.68644067796610164</v>
      </c>
      <c r="O8" s="3">
        <v>0.67796610169491522</v>
      </c>
      <c r="P8" s="3">
        <v>0.66949152542372881</v>
      </c>
      <c r="Q8" s="3">
        <v>0.64406779661016944</v>
      </c>
      <c r="R8" s="3">
        <v>0.59322033898305082</v>
      </c>
      <c r="S8" s="3">
        <v>0.55932203389830504</v>
      </c>
      <c r="T8" s="3">
        <v>0.53389830508474578</v>
      </c>
      <c r="U8" s="3">
        <v>0.5</v>
      </c>
      <c r="V8" s="3">
        <v>0.47457627118644069</v>
      </c>
      <c r="W8" s="3">
        <v>0.44915254237288138</v>
      </c>
      <c r="X8" s="3">
        <v>0.4152542372881356</v>
      </c>
      <c r="Y8" s="3">
        <v>0.39830508474576271</v>
      </c>
      <c r="Z8" s="3">
        <v>0.39830508474576271</v>
      </c>
    </row>
    <row r="9" spans="1:26" x14ac:dyDescent="0.3">
      <c r="A9" s="6">
        <v>45047</v>
      </c>
      <c r="B9" s="3">
        <v>1</v>
      </c>
      <c r="C9" s="3">
        <v>0.98399999999999999</v>
      </c>
      <c r="D9" s="3">
        <v>0.95199999999999996</v>
      </c>
      <c r="E9" s="3">
        <v>0.92800000000000005</v>
      </c>
      <c r="F9" s="3">
        <v>0.90400000000000003</v>
      </c>
      <c r="G9" s="3">
        <v>0.88800000000000001</v>
      </c>
      <c r="H9" s="3">
        <v>0.88</v>
      </c>
      <c r="I9" s="3">
        <v>0.80800000000000005</v>
      </c>
      <c r="J9" s="3">
        <v>0.77600000000000002</v>
      </c>
      <c r="K9" s="3">
        <v>0.752</v>
      </c>
      <c r="L9" s="3">
        <v>0.70399999999999996</v>
      </c>
      <c r="M9" s="3">
        <v>0.67200000000000004</v>
      </c>
      <c r="N9" s="3">
        <v>0.65600000000000003</v>
      </c>
      <c r="O9" s="3">
        <v>0.63200000000000001</v>
      </c>
      <c r="P9" s="3">
        <v>0.59199999999999997</v>
      </c>
      <c r="Q9" s="3">
        <v>0.57599999999999996</v>
      </c>
      <c r="R9" s="3">
        <v>0.54400000000000004</v>
      </c>
      <c r="S9" s="3">
        <v>0.52800000000000002</v>
      </c>
      <c r="T9" s="3">
        <v>0.48799999999999999</v>
      </c>
      <c r="U9" s="3">
        <v>0.44</v>
      </c>
      <c r="V9" s="3">
        <v>0.42399999999999999</v>
      </c>
      <c r="W9" s="3">
        <v>0.376</v>
      </c>
      <c r="X9" s="3">
        <v>0.34399999999999997</v>
      </c>
      <c r="Y9" s="3">
        <v>0.312</v>
      </c>
      <c r="Z9" s="3">
        <v>0.312</v>
      </c>
    </row>
    <row r="10" spans="1:26" x14ac:dyDescent="0.3">
      <c r="A10" s="6">
        <v>45078</v>
      </c>
      <c r="B10" s="3">
        <v>1</v>
      </c>
      <c r="C10" s="3">
        <v>0.98347107438016534</v>
      </c>
      <c r="D10" s="3">
        <v>0.96694214876033058</v>
      </c>
      <c r="E10" s="3">
        <v>0.95867768595041325</v>
      </c>
      <c r="F10" s="3">
        <v>0.9173553719008265</v>
      </c>
      <c r="G10" s="3">
        <v>0.85123966942148765</v>
      </c>
      <c r="H10" s="3">
        <v>0.80991735537190079</v>
      </c>
      <c r="I10" s="3">
        <v>0.76859504132231404</v>
      </c>
      <c r="J10" s="3">
        <v>0.74380165289256195</v>
      </c>
      <c r="K10" s="3">
        <v>0.71074380165289253</v>
      </c>
      <c r="L10" s="3">
        <v>0.66115702479338845</v>
      </c>
      <c r="M10" s="3">
        <v>0.62809917355371903</v>
      </c>
      <c r="N10" s="3">
        <v>0.6198347107438017</v>
      </c>
      <c r="O10" s="3">
        <v>0.60330578512396693</v>
      </c>
      <c r="P10" s="3">
        <v>0.57024793388429751</v>
      </c>
      <c r="Q10" s="3">
        <v>0.51239669421487599</v>
      </c>
      <c r="R10" s="3">
        <v>0.50413223140495866</v>
      </c>
      <c r="S10" s="3">
        <v>0.47107438016528924</v>
      </c>
      <c r="T10" s="3">
        <v>0.4462809917355372</v>
      </c>
      <c r="U10" s="3">
        <v>0.42148760330578511</v>
      </c>
      <c r="V10" s="3">
        <v>0.39669421487603307</v>
      </c>
      <c r="W10" s="3">
        <v>0.37190082644628097</v>
      </c>
      <c r="X10" s="3">
        <v>0.35537190082644626</v>
      </c>
      <c r="Y10" s="3">
        <v>0.33057851239669422</v>
      </c>
      <c r="Z10" s="3">
        <v>0.33057851239669422</v>
      </c>
    </row>
    <row r="11" spans="1:26" x14ac:dyDescent="0.3">
      <c r="A11" s="6">
        <v>45108</v>
      </c>
      <c r="B11" s="3"/>
      <c r="C11" s="3">
        <v>1</v>
      </c>
      <c r="D11" s="3">
        <v>0.9838709677419355</v>
      </c>
      <c r="E11" s="3">
        <v>0.967741935483871</v>
      </c>
      <c r="F11" s="3">
        <v>0.94354838709677424</v>
      </c>
      <c r="G11" s="3">
        <v>0.91935483870967738</v>
      </c>
      <c r="H11" s="3">
        <v>0.87096774193548387</v>
      </c>
      <c r="I11" s="3">
        <v>0.80645161290322576</v>
      </c>
      <c r="J11" s="3">
        <v>0.79838709677419351</v>
      </c>
      <c r="K11" s="3">
        <v>0.7338709677419355</v>
      </c>
      <c r="L11" s="3">
        <v>0.717741935483871</v>
      </c>
      <c r="M11" s="3">
        <v>0.67741935483870963</v>
      </c>
      <c r="N11" s="3"/>
      <c r="O11" s="3">
        <v>0.64516129032258063</v>
      </c>
      <c r="P11" s="3"/>
      <c r="Q11" s="3">
        <v>0.61290322580645162</v>
      </c>
      <c r="R11" s="3">
        <v>0.58870967741935487</v>
      </c>
      <c r="S11" s="3">
        <v>0.55645161290322576</v>
      </c>
      <c r="T11" s="3">
        <v>0.532258064516129</v>
      </c>
      <c r="U11" s="3">
        <v>0.50806451612903225</v>
      </c>
      <c r="V11" s="3">
        <v>0.47580645161290325</v>
      </c>
      <c r="W11" s="3">
        <v>0.45161290322580644</v>
      </c>
      <c r="X11" s="3">
        <v>0.40322580645161288</v>
      </c>
      <c r="Y11" s="3">
        <v>0.38709677419354838</v>
      </c>
      <c r="Z11" s="3">
        <v>0.38709677419354838</v>
      </c>
    </row>
    <row r="12" spans="1:26" x14ac:dyDescent="0.3">
      <c r="A12" s="6">
        <v>45139</v>
      </c>
      <c r="B12" s="3">
        <v>1</v>
      </c>
      <c r="C12" s="3">
        <v>0.96330275229357798</v>
      </c>
      <c r="D12" s="3">
        <v>0.93577981651376152</v>
      </c>
      <c r="E12" s="3">
        <v>0.91743119266055051</v>
      </c>
      <c r="F12" s="3">
        <v>0.88990825688073394</v>
      </c>
      <c r="G12" s="3">
        <v>0.87155963302752293</v>
      </c>
      <c r="H12" s="3">
        <v>0.84403669724770647</v>
      </c>
      <c r="I12" s="3">
        <v>0.82568807339449546</v>
      </c>
      <c r="J12" s="3">
        <v>0.78899082568807344</v>
      </c>
      <c r="K12" s="3">
        <v>0.73394495412844041</v>
      </c>
      <c r="L12" s="3">
        <v>0.70642201834862384</v>
      </c>
      <c r="M12" s="3">
        <v>0.67889908256880738</v>
      </c>
      <c r="N12" s="3">
        <v>0.66055045871559637</v>
      </c>
      <c r="O12" s="3">
        <v>0.62385321100917435</v>
      </c>
      <c r="P12" s="3">
        <v>0.58715596330275233</v>
      </c>
      <c r="Q12" s="3">
        <v>0.57798165137614677</v>
      </c>
      <c r="R12" s="3">
        <v>0.55045871559633031</v>
      </c>
      <c r="S12" s="3">
        <v>0.54128440366972475</v>
      </c>
      <c r="T12" s="3">
        <v>0.51376146788990829</v>
      </c>
      <c r="U12" s="3">
        <v>0.50458715596330272</v>
      </c>
      <c r="V12" s="3">
        <v>0.45871559633027525</v>
      </c>
      <c r="W12" s="3">
        <v>0.42201834862385323</v>
      </c>
      <c r="X12" s="3"/>
      <c r="Y12" s="3">
        <v>0.39449541284403672</v>
      </c>
      <c r="Z12" s="3">
        <v>0.39449541284403672</v>
      </c>
    </row>
    <row r="13" spans="1:26" x14ac:dyDescent="0.3">
      <c r="A13" s="6">
        <v>45170</v>
      </c>
      <c r="B13" s="3">
        <v>1</v>
      </c>
      <c r="C13" s="3">
        <v>0.99056603773584906</v>
      </c>
      <c r="D13" s="3">
        <v>0.97169811320754718</v>
      </c>
      <c r="E13" s="3">
        <v>0.94339622641509435</v>
      </c>
      <c r="F13" s="3">
        <v>0.92452830188679247</v>
      </c>
      <c r="G13" s="3">
        <v>0.90566037735849059</v>
      </c>
      <c r="H13" s="3"/>
      <c r="I13" s="3">
        <v>0.85849056603773588</v>
      </c>
      <c r="J13" s="3">
        <v>0.83018867924528306</v>
      </c>
      <c r="K13" s="3">
        <v>0.81132075471698117</v>
      </c>
      <c r="L13" s="3">
        <v>0.77358490566037741</v>
      </c>
      <c r="M13" s="3">
        <v>0.72641509433962259</v>
      </c>
      <c r="N13" s="3">
        <v>0.69811320754716977</v>
      </c>
      <c r="O13" s="3">
        <v>0.64150943396226412</v>
      </c>
      <c r="P13" s="3">
        <v>0.60377358490566035</v>
      </c>
      <c r="Q13" s="3">
        <v>0.58490566037735847</v>
      </c>
      <c r="R13" s="3">
        <v>0.53773584905660377</v>
      </c>
      <c r="S13" s="3">
        <v>0.51886792452830188</v>
      </c>
      <c r="T13" s="3">
        <v>0.48113207547169812</v>
      </c>
      <c r="U13" s="3">
        <v>0.47169811320754718</v>
      </c>
      <c r="V13" s="3">
        <v>0.42452830188679247</v>
      </c>
      <c r="W13" s="3">
        <v>0.39622641509433965</v>
      </c>
      <c r="X13" s="3">
        <v>0.36792452830188677</v>
      </c>
      <c r="Y13" s="3">
        <v>0.34905660377358488</v>
      </c>
      <c r="Z13" s="3">
        <v>0.34905660377358488</v>
      </c>
    </row>
    <row r="14" spans="1:26" x14ac:dyDescent="0.3">
      <c r="A14" s="6">
        <v>45200</v>
      </c>
      <c r="B14" s="3">
        <v>1</v>
      </c>
      <c r="C14" s="3">
        <v>0.98412698412698407</v>
      </c>
      <c r="D14" s="3">
        <v>0.94444444444444442</v>
      </c>
      <c r="E14" s="3">
        <v>0.92063492063492058</v>
      </c>
      <c r="F14" s="3">
        <v>0.88888888888888884</v>
      </c>
      <c r="G14" s="3">
        <v>0.84920634920634919</v>
      </c>
      <c r="H14" s="3">
        <v>0.80952380952380953</v>
      </c>
      <c r="I14" s="3">
        <v>0.74603174603174605</v>
      </c>
      <c r="J14" s="3">
        <v>0.72222222222222221</v>
      </c>
      <c r="K14" s="3">
        <v>0.68253968253968256</v>
      </c>
      <c r="L14" s="3">
        <v>0.6428571428571429</v>
      </c>
      <c r="M14" s="3">
        <v>0.62698412698412698</v>
      </c>
      <c r="N14" s="3">
        <v>0.61111111111111116</v>
      </c>
      <c r="O14" s="3">
        <v>0.59523809523809523</v>
      </c>
      <c r="P14" s="3">
        <v>0.58730158730158732</v>
      </c>
      <c r="Q14" s="3">
        <v>0.5714285714285714</v>
      </c>
      <c r="R14" s="3">
        <v>0.50793650793650791</v>
      </c>
      <c r="S14" s="3">
        <v>0.5</v>
      </c>
      <c r="T14" s="3">
        <v>0.45238095238095238</v>
      </c>
      <c r="U14" s="3">
        <v>0.44444444444444442</v>
      </c>
      <c r="V14" s="3">
        <v>0.43650793650793651</v>
      </c>
      <c r="W14" s="3">
        <v>0.3968253968253968</v>
      </c>
      <c r="X14" s="3">
        <v>0.3888888888888889</v>
      </c>
      <c r="Y14" s="3">
        <v>0.35714285714285715</v>
      </c>
      <c r="Z14" s="3">
        <v>0.35714285714285715</v>
      </c>
    </row>
    <row r="15" spans="1:26" x14ac:dyDescent="0.3">
      <c r="A15" s="6">
        <v>45231</v>
      </c>
      <c r="B15" s="3">
        <v>1</v>
      </c>
      <c r="C15" s="3">
        <v>0.97979797979797978</v>
      </c>
      <c r="D15" s="3">
        <v>0.93939393939393945</v>
      </c>
      <c r="E15" s="3"/>
      <c r="F15" s="3">
        <v>0.88888888888888884</v>
      </c>
      <c r="G15" s="3">
        <v>0.85858585858585856</v>
      </c>
      <c r="H15" s="3">
        <v>0.81818181818181823</v>
      </c>
      <c r="I15" s="3">
        <v>0.77777777777777779</v>
      </c>
      <c r="J15" s="3">
        <v>0.74747474747474751</v>
      </c>
      <c r="K15" s="3">
        <v>0.73737373737373735</v>
      </c>
      <c r="L15" s="3">
        <v>0.69696969696969702</v>
      </c>
      <c r="M15" s="3">
        <v>0.66666666666666663</v>
      </c>
      <c r="N15" s="3">
        <v>0.60606060606060608</v>
      </c>
      <c r="O15" s="3">
        <v>0.58585858585858586</v>
      </c>
      <c r="P15" s="3"/>
      <c r="Q15" s="3">
        <v>0.54545454545454541</v>
      </c>
      <c r="R15" s="3">
        <v>0.53535353535353536</v>
      </c>
      <c r="S15" s="3">
        <v>0.51515151515151514</v>
      </c>
      <c r="T15" s="3">
        <v>0.48484848484848486</v>
      </c>
      <c r="U15" s="3">
        <v>0.47474747474747475</v>
      </c>
      <c r="V15" s="3">
        <v>0.43434343434343436</v>
      </c>
      <c r="W15" s="3">
        <v>0.39393939393939392</v>
      </c>
      <c r="X15" s="3">
        <v>0.34343434343434343</v>
      </c>
      <c r="Y15" s="3">
        <v>0.32323232323232326</v>
      </c>
      <c r="Z15" s="3">
        <v>0.32323232323232326</v>
      </c>
    </row>
    <row r="16" spans="1:26" x14ac:dyDescent="0.3">
      <c r="A16" s="6">
        <v>45261</v>
      </c>
      <c r="B16" s="3">
        <v>1</v>
      </c>
      <c r="C16" s="3">
        <v>0.96666666666666667</v>
      </c>
      <c r="D16" s="3">
        <v>0.93333333333333335</v>
      </c>
      <c r="E16" s="3">
        <v>0.91666666666666663</v>
      </c>
      <c r="F16" s="3">
        <v>0.89166666666666672</v>
      </c>
      <c r="G16" s="3">
        <v>0.875</v>
      </c>
      <c r="H16" s="3">
        <v>0.85833333333333328</v>
      </c>
      <c r="I16" s="3"/>
      <c r="J16" s="3"/>
      <c r="K16" s="3">
        <v>0.81666666666666665</v>
      </c>
      <c r="L16" s="3">
        <v>0.77500000000000002</v>
      </c>
      <c r="M16" s="3">
        <v>0.73333333333333328</v>
      </c>
      <c r="N16" s="3">
        <v>0.68333333333333335</v>
      </c>
      <c r="O16" s="3">
        <v>0.65833333333333333</v>
      </c>
      <c r="P16" s="3">
        <v>0.64166666666666672</v>
      </c>
      <c r="Q16" s="3">
        <v>0.6166666666666667</v>
      </c>
      <c r="R16" s="3">
        <v>0.56666666666666665</v>
      </c>
      <c r="S16" s="3">
        <v>0.54166666666666663</v>
      </c>
      <c r="T16" s="3">
        <v>0.5</v>
      </c>
      <c r="U16" s="3">
        <v>0.45</v>
      </c>
      <c r="V16" s="3">
        <v>0.41666666666666669</v>
      </c>
      <c r="W16" s="3">
        <v>0.38333333333333336</v>
      </c>
      <c r="X16" s="3">
        <v>0.35</v>
      </c>
      <c r="Y16" s="3">
        <v>0.33333333333333331</v>
      </c>
      <c r="Z16" s="3">
        <v>0.33333333333333331</v>
      </c>
    </row>
    <row r="17" spans="1:26" x14ac:dyDescent="0.3">
      <c r="A17" s="6">
        <v>45292</v>
      </c>
      <c r="B17" s="3">
        <v>1</v>
      </c>
      <c r="C17" s="3">
        <v>0.97727272727272729</v>
      </c>
      <c r="D17" s="3"/>
      <c r="E17" s="3">
        <v>0.96969696969696972</v>
      </c>
      <c r="F17" s="3">
        <v>0.93181818181818177</v>
      </c>
      <c r="G17" s="3">
        <v>0.89393939393939392</v>
      </c>
      <c r="H17" s="3">
        <v>0.87121212121212122</v>
      </c>
      <c r="I17" s="3">
        <v>0.86363636363636365</v>
      </c>
      <c r="J17" s="3">
        <v>0.83333333333333337</v>
      </c>
      <c r="K17" s="3">
        <v>0.81818181818181823</v>
      </c>
      <c r="L17" s="3">
        <v>0.79545454545454541</v>
      </c>
      <c r="M17" s="3">
        <v>0.78030303030303028</v>
      </c>
      <c r="N17" s="3">
        <v>0.75</v>
      </c>
      <c r="O17" s="3">
        <v>0.73484848484848486</v>
      </c>
      <c r="P17" s="3">
        <v>0.71212121212121215</v>
      </c>
      <c r="Q17" s="3">
        <v>0.6742424242424242</v>
      </c>
      <c r="R17" s="3">
        <v>0.63636363636363635</v>
      </c>
      <c r="S17" s="3">
        <v>0.60606060606060608</v>
      </c>
      <c r="T17" s="3">
        <v>0.56818181818181823</v>
      </c>
      <c r="U17" s="3">
        <v>0.53030303030303028</v>
      </c>
      <c r="V17" s="3">
        <v>0.50757575757575757</v>
      </c>
      <c r="W17" s="3">
        <v>0.5</v>
      </c>
      <c r="X17" s="3">
        <v>0.49242424242424243</v>
      </c>
      <c r="Y17" s="3">
        <v>0.4621212121212121</v>
      </c>
      <c r="Z17" s="3">
        <v>0.4621212121212121</v>
      </c>
    </row>
    <row r="18" spans="1:26" x14ac:dyDescent="0.3">
      <c r="A18" s="6">
        <v>45323</v>
      </c>
      <c r="B18" s="3">
        <v>1</v>
      </c>
      <c r="C18" s="3">
        <v>0.96470588235294119</v>
      </c>
      <c r="D18" s="3">
        <v>0.90588235294117647</v>
      </c>
      <c r="E18" s="3">
        <v>0.87058823529411766</v>
      </c>
      <c r="F18" s="3">
        <v>0.83529411764705885</v>
      </c>
      <c r="G18" s="3">
        <v>0.76470588235294112</v>
      </c>
      <c r="H18" s="3">
        <v>0.75294117647058822</v>
      </c>
      <c r="I18" s="3">
        <v>0.74117647058823533</v>
      </c>
      <c r="J18" s="3">
        <v>0.70588235294117652</v>
      </c>
      <c r="K18" s="3">
        <v>0.69411764705882351</v>
      </c>
      <c r="L18" s="3">
        <v>0.6705882352941176</v>
      </c>
      <c r="M18" s="3"/>
      <c r="N18" s="3">
        <v>0.63529411764705879</v>
      </c>
      <c r="O18" s="3">
        <v>0.58823529411764708</v>
      </c>
      <c r="P18" s="3">
        <v>0.57647058823529407</v>
      </c>
      <c r="Q18" s="3">
        <v>0.55294117647058827</v>
      </c>
      <c r="R18" s="3">
        <v>0.52941176470588236</v>
      </c>
      <c r="S18" s="3">
        <v>0.49411764705882355</v>
      </c>
      <c r="T18" s="3">
        <v>0.44705882352941179</v>
      </c>
      <c r="U18" s="3">
        <v>0.42352941176470588</v>
      </c>
      <c r="V18" s="3">
        <v>0.38823529411764707</v>
      </c>
      <c r="W18" s="3">
        <v>0.37647058823529411</v>
      </c>
      <c r="X18" s="3">
        <v>0.36470588235294116</v>
      </c>
      <c r="Y18" s="3">
        <v>0.3411764705882353</v>
      </c>
      <c r="Z18" s="3">
        <v>0.3411764705882353</v>
      </c>
    </row>
    <row r="19" spans="1:26" x14ac:dyDescent="0.3">
      <c r="A19" s="6">
        <v>45352</v>
      </c>
      <c r="B19" s="3">
        <v>1</v>
      </c>
      <c r="C19" s="3">
        <v>0.95620437956204385</v>
      </c>
      <c r="D19" s="3">
        <v>0.94160583941605835</v>
      </c>
      <c r="E19" s="3">
        <v>0.92700729927007297</v>
      </c>
      <c r="F19" s="3">
        <v>0.89051094890510951</v>
      </c>
      <c r="G19" s="3">
        <v>0.87591240875912413</v>
      </c>
      <c r="H19" s="3">
        <v>0.82481751824817517</v>
      </c>
      <c r="I19" s="3">
        <v>0.78832116788321172</v>
      </c>
      <c r="J19" s="3">
        <v>0.76642335766423353</v>
      </c>
      <c r="K19" s="3">
        <v>0.72992700729927007</v>
      </c>
      <c r="L19" s="3">
        <v>0.7007299270072993</v>
      </c>
      <c r="M19" s="3">
        <v>0.67153284671532842</v>
      </c>
      <c r="N19" s="3">
        <v>0.64963503649635035</v>
      </c>
      <c r="O19" s="3">
        <v>0.62043795620437958</v>
      </c>
      <c r="P19" s="3">
        <v>0.57664233576642332</v>
      </c>
      <c r="Q19" s="3">
        <v>0.56934306569343063</v>
      </c>
      <c r="R19" s="3">
        <v>0.52554744525547448</v>
      </c>
      <c r="S19" s="3">
        <v>0.48905109489051096</v>
      </c>
      <c r="T19" s="3"/>
      <c r="U19" s="3">
        <v>0.45985401459854014</v>
      </c>
      <c r="V19" s="3">
        <v>0.42335766423357662</v>
      </c>
      <c r="W19" s="3">
        <v>0.38686131386861317</v>
      </c>
      <c r="X19" s="3">
        <v>0.36496350364963503</v>
      </c>
      <c r="Y19" s="3">
        <v>0.33576642335766421</v>
      </c>
      <c r="Z19" s="3">
        <v>0.33576642335766421</v>
      </c>
    </row>
    <row r="20" spans="1:26" x14ac:dyDescent="0.3">
      <c r="A20" s="6">
        <v>45383</v>
      </c>
      <c r="B20" s="3">
        <v>1</v>
      </c>
      <c r="C20" s="3">
        <v>0.97478991596638653</v>
      </c>
      <c r="D20" s="3">
        <v>0.95798319327731096</v>
      </c>
      <c r="E20" s="3">
        <v>0.9327731092436975</v>
      </c>
      <c r="F20" s="3">
        <v>0.89075630252100846</v>
      </c>
      <c r="G20" s="3">
        <v>0.88235294117647056</v>
      </c>
      <c r="H20" s="3">
        <v>0.8571428571428571</v>
      </c>
      <c r="I20" s="3">
        <v>0.83193277310924374</v>
      </c>
      <c r="J20" s="3">
        <v>0.81512605042016806</v>
      </c>
      <c r="K20" s="3">
        <v>0.78991596638655459</v>
      </c>
      <c r="L20" s="3">
        <v>0.77310924369747902</v>
      </c>
      <c r="M20" s="3">
        <v>0.75630252100840334</v>
      </c>
      <c r="N20" s="3">
        <v>0.74789915966386555</v>
      </c>
      <c r="O20" s="3">
        <v>0.7142857142857143</v>
      </c>
      <c r="P20" s="3">
        <v>0.65546218487394958</v>
      </c>
      <c r="Q20" s="3">
        <v>0.63025210084033612</v>
      </c>
      <c r="R20" s="3">
        <v>0.57983193277310929</v>
      </c>
      <c r="S20" s="3">
        <v>0.52941176470588236</v>
      </c>
      <c r="T20" s="3">
        <v>0.50420168067226889</v>
      </c>
      <c r="U20" s="3">
        <v>0.47899159663865548</v>
      </c>
      <c r="V20" s="3">
        <v>0.44537815126050423</v>
      </c>
      <c r="W20" s="3">
        <v>0.43697478991596639</v>
      </c>
      <c r="X20" s="3">
        <v>0.3949579831932773</v>
      </c>
      <c r="Y20" s="3">
        <v>0.37815126050420167</v>
      </c>
      <c r="Z20" s="3">
        <v>0.37815126050420167</v>
      </c>
    </row>
    <row r="21" spans="1:26" x14ac:dyDescent="0.3">
      <c r="A21" s="6">
        <v>45413</v>
      </c>
      <c r="B21" s="3">
        <v>1</v>
      </c>
      <c r="C21" s="3">
        <v>0.92537313432835822</v>
      </c>
      <c r="D21" s="3">
        <v>0.89552238805970152</v>
      </c>
      <c r="E21" s="3">
        <v>0.88059701492537312</v>
      </c>
      <c r="F21" s="3">
        <v>0.85820895522388063</v>
      </c>
      <c r="G21" s="3"/>
      <c r="H21" s="3">
        <v>0.82835820895522383</v>
      </c>
      <c r="I21" s="3">
        <v>0.80597014925373134</v>
      </c>
      <c r="J21" s="3"/>
      <c r="K21" s="3">
        <v>0.76865671641791045</v>
      </c>
      <c r="L21" s="3">
        <v>0.71641791044776115</v>
      </c>
      <c r="M21" s="3">
        <v>0.69402985074626866</v>
      </c>
      <c r="N21" s="3">
        <v>0.67910447761194026</v>
      </c>
      <c r="O21" s="3">
        <v>0.64925373134328357</v>
      </c>
      <c r="P21" s="3">
        <v>0.63432835820895528</v>
      </c>
      <c r="Q21" s="3">
        <v>0.59701492537313428</v>
      </c>
      <c r="R21" s="3">
        <v>0.58208955223880599</v>
      </c>
      <c r="S21" s="3">
        <v>0.56716417910447758</v>
      </c>
      <c r="T21" s="3">
        <v>0.55223880597014929</v>
      </c>
      <c r="U21" s="3">
        <v>0.5074626865671642</v>
      </c>
      <c r="V21" s="3">
        <v>0.48507462686567165</v>
      </c>
      <c r="W21" s="3">
        <v>0.42537313432835822</v>
      </c>
      <c r="X21" s="3">
        <v>0.39552238805970147</v>
      </c>
      <c r="Y21" s="3">
        <v>0.34328358208955223</v>
      </c>
      <c r="Z21" s="3">
        <v>0.34328358208955223</v>
      </c>
    </row>
    <row r="22" spans="1:26" x14ac:dyDescent="0.3">
      <c r="A22" s="6">
        <v>45444</v>
      </c>
      <c r="B22" s="3">
        <v>1</v>
      </c>
      <c r="C22" s="3">
        <v>0.97029702970297027</v>
      </c>
      <c r="D22" s="3"/>
      <c r="E22" s="3"/>
      <c r="F22" s="3">
        <v>0.96039603960396036</v>
      </c>
      <c r="G22" s="3">
        <v>0.93069306930693074</v>
      </c>
      <c r="H22" s="3">
        <v>0.91089108910891092</v>
      </c>
      <c r="I22" s="3">
        <v>0.88118811881188119</v>
      </c>
      <c r="J22" s="3">
        <v>0.83168316831683164</v>
      </c>
      <c r="K22" s="3">
        <v>0.78217821782178221</v>
      </c>
      <c r="L22" s="3">
        <v>0.7722772277227723</v>
      </c>
      <c r="M22" s="3">
        <v>0.74257425742574257</v>
      </c>
      <c r="N22" s="3">
        <v>0.72277227722772275</v>
      </c>
      <c r="O22" s="3">
        <v>0.6633663366336634</v>
      </c>
      <c r="P22" s="3">
        <v>0.65346534653465349</v>
      </c>
      <c r="Q22" s="3">
        <v>0.63366336633663367</v>
      </c>
      <c r="R22" s="3">
        <v>0.61386138613861385</v>
      </c>
      <c r="S22" s="3">
        <v>0.59405940594059403</v>
      </c>
      <c r="T22" s="3">
        <v>0.54455445544554459</v>
      </c>
      <c r="U22" s="3">
        <v>0.49504950495049505</v>
      </c>
      <c r="V22" s="3">
        <v>0.46534653465346537</v>
      </c>
      <c r="W22" s="3">
        <v>0.43564356435643564</v>
      </c>
      <c r="X22" s="3">
        <v>0.39603960396039606</v>
      </c>
      <c r="Y22" s="3">
        <v>0.35643564356435642</v>
      </c>
      <c r="Z22" s="3">
        <v>0.35643564356435642</v>
      </c>
    </row>
    <row r="23" spans="1:26" x14ac:dyDescent="0.3">
      <c r="A23" s="6">
        <v>45474</v>
      </c>
      <c r="B23" s="3">
        <v>1</v>
      </c>
      <c r="C23" s="3">
        <v>0.96031746031746035</v>
      </c>
      <c r="D23" s="3">
        <v>0.93650793650793651</v>
      </c>
      <c r="E23" s="3">
        <v>0.90476190476190477</v>
      </c>
      <c r="F23" s="3">
        <v>0.88095238095238093</v>
      </c>
      <c r="G23" s="3">
        <v>0.84126984126984128</v>
      </c>
      <c r="H23" s="3">
        <v>0.80952380952380953</v>
      </c>
      <c r="I23" s="3">
        <v>0.76190476190476186</v>
      </c>
      <c r="J23" s="3">
        <v>0.73809523809523814</v>
      </c>
      <c r="K23" s="3">
        <v>0.73015873015873012</v>
      </c>
      <c r="L23" s="3">
        <v>0.70634920634920639</v>
      </c>
      <c r="M23" s="3">
        <v>0.67460317460317465</v>
      </c>
      <c r="N23" s="3">
        <v>0.65079365079365081</v>
      </c>
      <c r="O23" s="3">
        <v>0.62698412698412698</v>
      </c>
      <c r="P23" s="3">
        <v>0.59523809523809523</v>
      </c>
      <c r="Q23" s="3">
        <v>0.57936507936507942</v>
      </c>
      <c r="R23" s="3">
        <v>0.5714285714285714</v>
      </c>
      <c r="S23" s="3">
        <v>0.56349206349206349</v>
      </c>
      <c r="T23" s="3"/>
      <c r="U23" s="3">
        <v>0.54761904761904767</v>
      </c>
      <c r="V23" s="3">
        <v>0.52380952380952384</v>
      </c>
      <c r="W23" s="3">
        <v>0.47619047619047616</v>
      </c>
      <c r="X23" s="3">
        <v>0.42857142857142855</v>
      </c>
      <c r="Y23" s="3">
        <v>0.3968253968253968</v>
      </c>
      <c r="Z23" s="3">
        <v>0.3968253968253968</v>
      </c>
    </row>
    <row r="24" spans="1:26" x14ac:dyDescent="0.3">
      <c r="A24" s="6">
        <v>45505</v>
      </c>
      <c r="B24" s="3">
        <v>1</v>
      </c>
      <c r="C24" s="3">
        <v>0.971830985915493</v>
      </c>
      <c r="D24" s="3"/>
      <c r="E24" s="3">
        <v>0.94366197183098588</v>
      </c>
      <c r="F24" s="3">
        <v>0.92253521126760563</v>
      </c>
      <c r="G24" s="3">
        <v>0.89436619718309862</v>
      </c>
      <c r="H24" s="3">
        <v>0.87323943661971826</v>
      </c>
      <c r="I24" s="3">
        <v>0.84507042253521125</v>
      </c>
      <c r="J24" s="3">
        <v>0.81690140845070425</v>
      </c>
      <c r="K24" s="3">
        <v>0.77464788732394363</v>
      </c>
      <c r="L24" s="3">
        <v>0.73943661971830987</v>
      </c>
      <c r="M24" s="3">
        <v>0.72535211267605637</v>
      </c>
      <c r="N24" s="3">
        <v>0.6901408450704225</v>
      </c>
      <c r="O24" s="3">
        <v>0.65492957746478875</v>
      </c>
      <c r="P24" s="3">
        <v>0.61267605633802813</v>
      </c>
      <c r="Q24" s="3">
        <v>0.57746478873239437</v>
      </c>
      <c r="R24" s="3">
        <v>0.54929577464788737</v>
      </c>
      <c r="S24" s="3">
        <v>0.5140845070422535</v>
      </c>
      <c r="T24" s="3">
        <v>0.5</v>
      </c>
      <c r="U24" s="3">
        <v>0.49295774647887325</v>
      </c>
      <c r="V24" s="3">
        <v>0.45774647887323944</v>
      </c>
      <c r="W24" s="3">
        <v>0.43661971830985913</v>
      </c>
      <c r="X24" s="3">
        <v>0.38732394366197181</v>
      </c>
      <c r="Y24" s="3">
        <v>0.38028169014084506</v>
      </c>
      <c r="Z24" s="3">
        <v>0.38028169014084506</v>
      </c>
    </row>
    <row r="25" spans="1:26" x14ac:dyDescent="0.3">
      <c r="A25" s="6">
        <v>45536</v>
      </c>
      <c r="B25" s="3">
        <v>1</v>
      </c>
      <c r="C25" s="3">
        <v>0.98095238095238091</v>
      </c>
      <c r="D25" s="3">
        <v>0.95238095238095233</v>
      </c>
      <c r="E25" s="3">
        <v>0.92380952380952386</v>
      </c>
      <c r="F25" s="3">
        <v>0.88571428571428568</v>
      </c>
      <c r="G25" s="3">
        <v>0.83809523809523812</v>
      </c>
      <c r="H25" s="3">
        <v>0.81904761904761902</v>
      </c>
      <c r="I25" s="3">
        <v>0.8</v>
      </c>
      <c r="J25" s="3">
        <v>0.79047619047619044</v>
      </c>
      <c r="K25" s="3">
        <v>0.73333333333333328</v>
      </c>
      <c r="L25" s="3">
        <v>0.69523809523809521</v>
      </c>
      <c r="M25" s="3">
        <v>0.65714285714285714</v>
      </c>
      <c r="N25" s="3">
        <v>0.62857142857142856</v>
      </c>
      <c r="O25" s="3">
        <v>0.60952380952380958</v>
      </c>
      <c r="P25" s="3">
        <v>0.59047619047619049</v>
      </c>
      <c r="Q25" s="3">
        <v>0.54285714285714282</v>
      </c>
      <c r="R25" s="3">
        <v>0.51428571428571423</v>
      </c>
      <c r="S25" s="3">
        <v>0.46666666666666667</v>
      </c>
      <c r="T25" s="3">
        <v>0.43809523809523809</v>
      </c>
      <c r="U25" s="3">
        <v>0.4</v>
      </c>
      <c r="V25" s="3">
        <v>0.37142857142857144</v>
      </c>
      <c r="W25" s="3">
        <v>0.3619047619047619</v>
      </c>
      <c r="X25" s="3">
        <v>0.33333333333333331</v>
      </c>
      <c r="Y25" s="3">
        <v>0.29523809523809524</v>
      </c>
      <c r="Z25" s="3">
        <v>0.29523809523809524</v>
      </c>
    </row>
    <row r="26" spans="1:26" x14ac:dyDescent="0.3">
      <c r="A26" s="6">
        <v>45566</v>
      </c>
      <c r="B26" s="3">
        <v>1</v>
      </c>
      <c r="C26" s="3">
        <v>0.99186991869918695</v>
      </c>
      <c r="D26" s="3">
        <v>0.98373983739837401</v>
      </c>
      <c r="E26" s="3">
        <v>0.91869918699186992</v>
      </c>
      <c r="F26" s="3">
        <v>0.89430894308943087</v>
      </c>
      <c r="G26" s="3">
        <v>0.88617886178861793</v>
      </c>
      <c r="H26" s="3">
        <v>0.83739837398373984</v>
      </c>
      <c r="I26" s="3">
        <v>0.82113821138211385</v>
      </c>
      <c r="J26" s="3">
        <v>0.7967479674796748</v>
      </c>
      <c r="K26" s="3">
        <v>0.77235772357723576</v>
      </c>
      <c r="L26" s="3">
        <v>0.73983739837398377</v>
      </c>
      <c r="M26" s="3">
        <v>0.71544715447154472</v>
      </c>
      <c r="N26" s="3">
        <v>0.69918699186991873</v>
      </c>
      <c r="O26" s="3">
        <v>0.68292682926829273</v>
      </c>
      <c r="P26" s="3">
        <v>0.66666666666666663</v>
      </c>
      <c r="Q26" s="3">
        <v>0.64227642276422769</v>
      </c>
      <c r="R26" s="3">
        <v>0.63414634146341464</v>
      </c>
      <c r="S26" s="3">
        <v>0.57723577235772361</v>
      </c>
      <c r="T26" s="3">
        <v>0.54471544715447151</v>
      </c>
      <c r="U26" s="3">
        <v>0.51219512195121952</v>
      </c>
      <c r="V26" s="3">
        <v>0.48780487804878048</v>
      </c>
      <c r="W26" s="3">
        <v>0.45528455284552843</v>
      </c>
      <c r="X26" s="3">
        <v>0.43902439024390244</v>
      </c>
      <c r="Y26" s="3">
        <v>0.42276422764227645</v>
      </c>
      <c r="Z26" s="3">
        <v>0.42276422764227645</v>
      </c>
    </row>
    <row r="27" spans="1:26" x14ac:dyDescent="0.3">
      <c r="A27" s="6">
        <v>45597</v>
      </c>
      <c r="B27" s="3">
        <v>1</v>
      </c>
      <c r="C27" s="3">
        <v>0.97478991596638653</v>
      </c>
      <c r="D27" s="3">
        <v>0.94117647058823528</v>
      </c>
      <c r="E27" s="3">
        <v>0.92436974789915971</v>
      </c>
      <c r="F27" s="3">
        <v>0.89915966386554624</v>
      </c>
      <c r="G27" s="3">
        <v>0.8571428571428571</v>
      </c>
      <c r="H27" s="3">
        <v>0.83193277310924374</v>
      </c>
      <c r="I27" s="3">
        <v>0.82352941176470584</v>
      </c>
      <c r="J27" s="3">
        <v>0.78151260504201681</v>
      </c>
      <c r="K27" s="3">
        <v>0.74789915966386555</v>
      </c>
      <c r="L27" s="3">
        <v>0.69747899159663862</v>
      </c>
      <c r="M27" s="3">
        <v>0.68067226890756305</v>
      </c>
      <c r="N27" s="3">
        <v>0.6386554621848739</v>
      </c>
      <c r="O27" s="3">
        <v>0.58823529411764708</v>
      </c>
      <c r="P27" s="3">
        <v>0.54621848739495793</v>
      </c>
      <c r="Q27" s="3">
        <v>0.49579831932773111</v>
      </c>
      <c r="R27" s="3">
        <v>0.46218487394957986</v>
      </c>
      <c r="S27" s="3">
        <v>0.45378151260504201</v>
      </c>
      <c r="T27" s="3">
        <v>0.42857142857142855</v>
      </c>
      <c r="U27" s="3">
        <v>0.41176470588235292</v>
      </c>
      <c r="V27" s="3">
        <v>0.3949579831932773</v>
      </c>
      <c r="W27" s="3">
        <v>0.37815126050420167</v>
      </c>
      <c r="X27" s="3">
        <v>0.35294117647058826</v>
      </c>
      <c r="Y27" s="3"/>
      <c r="Z27" s="3">
        <v>0.35294117647058826</v>
      </c>
    </row>
    <row r="28" spans="1:26" x14ac:dyDescent="0.3">
      <c r="A28" s="6">
        <v>45627</v>
      </c>
      <c r="B28" s="3">
        <v>1</v>
      </c>
      <c r="C28" s="3">
        <v>0.9538461538461539</v>
      </c>
      <c r="D28" s="3">
        <v>0.93076923076923079</v>
      </c>
      <c r="E28" s="3">
        <v>0.91538461538461535</v>
      </c>
      <c r="F28" s="3">
        <v>0.9</v>
      </c>
      <c r="G28" s="3">
        <v>0.86923076923076925</v>
      </c>
      <c r="H28" s="3">
        <v>0.85384615384615381</v>
      </c>
      <c r="I28" s="3">
        <v>0.83846153846153848</v>
      </c>
      <c r="J28" s="3">
        <v>0.7846153846153846</v>
      </c>
      <c r="K28" s="3">
        <v>0.7615384615384615</v>
      </c>
      <c r="L28" s="3">
        <v>0.72307692307692306</v>
      </c>
      <c r="M28" s="3">
        <v>0.69230769230769229</v>
      </c>
      <c r="N28" s="3">
        <v>0.67692307692307696</v>
      </c>
      <c r="O28" s="3">
        <v>0.63076923076923075</v>
      </c>
      <c r="P28" s="3">
        <v>0.60769230769230764</v>
      </c>
      <c r="Q28" s="3">
        <v>0.58461538461538465</v>
      </c>
      <c r="R28" s="3"/>
      <c r="S28" s="3">
        <v>0.56923076923076921</v>
      </c>
      <c r="T28" s="3">
        <v>0.5461538461538461</v>
      </c>
      <c r="U28" s="3">
        <v>0.52307692307692311</v>
      </c>
      <c r="V28" s="3">
        <v>0.50769230769230766</v>
      </c>
      <c r="W28" s="3">
        <v>0.48461538461538461</v>
      </c>
      <c r="X28" s="3">
        <v>0.46153846153846156</v>
      </c>
      <c r="Y28" s="3">
        <v>0.43846153846153846</v>
      </c>
      <c r="Z28" s="3">
        <v>0.43846153846153846</v>
      </c>
    </row>
    <row r="29" spans="1:26" x14ac:dyDescent="0.3">
      <c r="A29" s="2" t="s">
        <v>1</v>
      </c>
      <c r="B29" s="3">
        <v>1</v>
      </c>
      <c r="C29" s="3">
        <v>0.9721428571428572</v>
      </c>
      <c r="D29" s="3">
        <v>0.94892857142857145</v>
      </c>
      <c r="E29" s="3">
        <v>0.92714285714285716</v>
      </c>
      <c r="F29" s="3">
        <v>0.90071428571428569</v>
      </c>
      <c r="G29" s="3">
        <v>0.87142857142857144</v>
      </c>
      <c r="H29" s="3">
        <v>0.84214285714285719</v>
      </c>
      <c r="I29" s="3">
        <v>0.81142857142857139</v>
      </c>
      <c r="J29" s="3">
        <v>0.78321428571428575</v>
      </c>
      <c r="K29" s="3">
        <v>0.75464285714285717</v>
      </c>
      <c r="L29" s="3">
        <v>0.72</v>
      </c>
      <c r="M29" s="3">
        <v>0.69035714285714289</v>
      </c>
      <c r="N29" s="3">
        <v>0.6657142857142857</v>
      </c>
      <c r="O29" s="3">
        <v>0.63821428571428573</v>
      </c>
      <c r="P29" s="3">
        <v>0.61142857142857143</v>
      </c>
      <c r="Q29" s="3">
        <v>0.58464285714285713</v>
      </c>
      <c r="R29" s="3">
        <v>0.55321428571428577</v>
      </c>
      <c r="S29" s="3">
        <v>0.52821428571428575</v>
      </c>
      <c r="T29" s="3">
        <v>0.49928571428571428</v>
      </c>
      <c r="U29" s="3">
        <v>0.4732142857142857</v>
      </c>
      <c r="V29" s="3">
        <v>0.44785714285714284</v>
      </c>
      <c r="W29" s="3">
        <v>0.41892857142857143</v>
      </c>
      <c r="X29" s="3">
        <v>0.39107142857142857</v>
      </c>
      <c r="Y29" s="3">
        <v>0.36785714285714288</v>
      </c>
      <c r="Z29" s="3">
        <v>0.36785714285714288</v>
      </c>
    </row>
  </sheetData>
  <conditionalFormatting pivot="1" sqref="B5:Z29">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A76E-2E85-4D81-BD0C-32EFC0E47C2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9C1C1D53-3D65-44C8-81C3-F4999BA7099A}">
  <ds:schemaRefs>
    <ds:schemaRef ds:uri="http://schemas.microsoft.com/DataMashup"/>
  </ds:schemaRefs>
</ds:datastoreItem>
</file>

<file path=customXml/itemProps2.xml><?xml version="1.0" encoding="utf-8"?>
<ds:datastoreItem xmlns:ds="http://schemas.openxmlformats.org/officeDocument/2006/customXml" ds:itemID="{5C59DA94-3895-429F-A5FA-AF50430A57F6}">
  <ds:schemaRefs/>
</ds:datastoreItem>
</file>

<file path=customXml/itemProps3.xml><?xml version="1.0" encoding="utf-8"?>
<ds:datastoreItem xmlns:ds="http://schemas.openxmlformats.org/officeDocument/2006/customXml" ds:itemID="{83DF2450-C796-4A0C-B925-EB832C0BE292}">
  <ds:schemaRefs/>
</ds:datastoreItem>
</file>

<file path=customXml/itemProps4.xml><?xml version="1.0" encoding="utf-8"?>
<ds:datastoreItem xmlns:ds="http://schemas.openxmlformats.org/officeDocument/2006/customXml" ds:itemID="{626C0041-AC76-4C36-B573-720C9348B234}">
  <ds:schemaRefs/>
</ds:datastoreItem>
</file>

<file path=customXml/itemProps5.xml><?xml version="1.0" encoding="utf-8"?>
<ds:datastoreItem xmlns:ds="http://schemas.openxmlformats.org/officeDocument/2006/customXml" ds:itemID="{E05818C0-94AB-450B-B3DE-92BE5EB5B190}">
  <ds:schemaRefs/>
</ds:datastoreItem>
</file>

<file path=customXml/itemProps6.xml><?xml version="1.0" encoding="utf-8"?>
<ds:datastoreItem xmlns:ds="http://schemas.openxmlformats.org/officeDocument/2006/customXml" ds:itemID="{A02955AF-AD28-4571-AF85-16D4F8002336}">
  <ds:schemaRefs/>
</ds:datastoreItem>
</file>

<file path=customXml/itemProps7.xml><?xml version="1.0" encoding="utf-8"?>
<ds:datastoreItem xmlns:ds="http://schemas.openxmlformats.org/officeDocument/2006/customXml" ds:itemID="{CBED312B-FCA1-4BA9-9469-99B649D03E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tshabalalanomaswazi26@gmail.com</dc:creator>
  <cp:lastModifiedBy>tshabalalanomaswazi26@gmail.com</cp:lastModifiedBy>
  <dcterms:created xsi:type="dcterms:W3CDTF">2026-05-26T20:50:59Z</dcterms:created>
  <dcterms:modified xsi:type="dcterms:W3CDTF">2026-06-01T12:43:20Z</dcterms:modified>
</cp:coreProperties>
</file>